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跑团\RED\卡包\"/>
    </mc:Choice>
  </mc:AlternateContent>
  <xr:revisionPtr revIDLastSave="0" documentId="13_ncr:1_{B053558C-98CD-41DA-9D71-A7D03F9973B1}" xr6:coauthVersionLast="47" xr6:coauthVersionMax="47" xr10:uidLastSave="{00000000-0000-0000-0000-000000000000}"/>
  <bookViews>
    <workbookView xWindow="-120" yWindow="-120" windowWidth="38640" windowHeight="21120" xr2:uid="{00000000-000D-0000-FFFF-FFFF00000000}"/>
  </bookViews>
  <sheets>
    <sheet name="前言卡" sheetId="1" r:id="rId1"/>
    <sheet name="人物卡" sheetId="2" r:id="rId2"/>
    <sheet name="武器卡" sheetId="3" r:id="rId3"/>
    <sheet name="防具卡" sheetId="14" r:id="rId4"/>
    <sheet name="背包卡" sheetId="4" r:id="rId5"/>
    <sheet name="义体卡" sheetId="9" r:id="rId6"/>
    <sheet name="往来记录" sheetId="6" r:id="rId7"/>
    <sheet name="购物助手" sheetId="5" r:id="rId8"/>
    <sheet name="RP卡" sheetId="10" r:id="rId9"/>
    <sheet name="网行卡" sheetId="8" r:id="rId10"/>
    <sheet name="载具卡" sheetId="13" r:id="rId11"/>
    <sheet name="ACPA卡" sheetId="11" r:id="rId12"/>
    <sheet name="鲨包速查V1.91" sheetId="12"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J42" i="2" l="1"/>
  <c r="X29" i="2"/>
  <c r="X28" i="2" l="1"/>
  <c r="X27" i="2"/>
  <c r="W5" i="11"/>
  <c r="K32" i="2"/>
  <c r="P3" i="5" a="1"/>
  <c r="P3" i="5" s="1"/>
  <c r="X4" i="5" l="1"/>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3" i="5"/>
  <c r="E26" i="5"/>
  <c r="S26" i="5"/>
  <c r="E27" i="5"/>
  <c r="S27" i="5"/>
  <c r="E24" i="5"/>
  <c r="S24" i="5"/>
  <c r="E25" i="5"/>
  <c r="S25" i="5"/>
  <c r="Y1" i="5" l="1"/>
  <c r="BC34" i="2"/>
  <c r="BC32" i="2"/>
  <c r="BC30" i="2"/>
  <c r="BC28" i="2"/>
  <c r="BC26" i="2"/>
  <c r="BC24" i="2"/>
  <c r="BC22" i="2"/>
  <c r="BC20" i="2"/>
  <c r="BA34" i="2"/>
  <c r="BA32" i="2"/>
  <c r="BA30" i="2"/>
  <c r="BA28" i="2"/>
  <c r="BA26" i="2"/>
  <c r="BA24" i="2"/>
  <c r="BA22" i="2"/>
  <c r="BA20" i="2"/>
  <c r="AZ34" i="2"/>
  <c r="AZ32" i="2"/>
  <c r="AZ30" i="2"/>
  <c r="AZ28" i="2"/>
  <c r="AZ26" i="2"/>
  <c r="AZ24" i="2"/>
  <c r="AZ22" i="2"/>
  <c r="AW34" i="2"/>
  <c r="AW32" i="2"/>
  <c r="AW30" i="2"/>
  <c r="AW28" i="2"/>
  <c r="AW26" i="2"/>
  <c r="AW24" i="2"/>
  <c r="AW22" i="2"/>
  <c r="AZ20" i="2"/>
  <c r="AW20" i="2"/>
  <c r="AX11" i="2"/>
  <c r="BE11" i="2"/>
  <c r="BC11" i="2"/>
  <c r="BB11" i="2"/>
  <c r="BA11" i="2"/>
  <c r="BD11" i="2"/>
  <c r="AY11" i="2"/>
  <c r="BE9" i="2"/>
  <c r="BC9" i="2"/>
  <c r="BB9" i="2"/>
  <c r="BA9" i="2"/>
  <c r="BD9" i="2"/>
  <c r="AY9" i="2"/>
  <c r="AX9" i="2"/>
  <c r="AV11" i="2"/>
  <c r="AV9" i="2"/>
  <c r="BE7" i="2"/>
  <c r="BC7" i="2"/>
  <c r="BB7" i="2"/>
  <c r="BA7" i="2"/>
  <c r="BD7" i="2"/>
  <c r="AY7" i="2"/>
  <c r="AX7" i="2"/>
  <c r="AX5" i="2"/>
  <c r="AV7" i="2"/>
  <c r="BE5" i="2"/>
  <c r="BC5" i="2"/>
  <c r="BB5" i="2"/>
  <c r="BA5" i="2"/>
  <c r="BD5" i="2"/>
  <c r="AY5" i="2"/>
  <c r="AV5" i="2"/>
  <c r="N60" i="5"/>
  <c r="J55" i="5"/>
  <c r="J56" i="5"/>
  <c r="J58" i="5" s="1"/>
  <c r="BE22" i="2"/>
  <c r="BE24" i="2"/>
  <c r="BE26" i="2"/>
  <c r="BE28" i="2"/>
  <c r="BE30" i="2"/>
  <c r="BE32" i="2"/>
  <c r="BE34" i="2"/>
  <c r="BE20" i="2"/>
  <c r="J5" i="11"/>
  <c r="G5" i="11"/>
  <c r="F5" i="11"/>
  <c r="E5" i="11"/>
  <c r="N33" i="13"/>
  <c r="BB20" i="2" l="1"/>
  <c r="P16" i="2"/>
  <c r="J5" i="9" l="1"/>
  <c r="O32" i="2" s="1"/>
  <c r="N5" i="9" s="1"/>
  <c r="O5" i="9" l="1"/>
  <c r="S98" i="5"/>
  <c r="E98" i="5"/>
  <c r="S97" i="5"/>
  <c r="E97" i="5"/>
  <c r="S96" i="5"/>
  <c r="E96" i="5"/>
  <c r="S95" i="5"/>
  <c r="E95" i="5"/>
  <c r="S94" i="5"/>
  <c r="E94" i="5"/>
  <c r="S93" i="5"/>
  <c r="E93" i="5"/>
  <c r="S92" i="5"/>
  <c r="E92" i="5"/>
  <c r="S91" i="5"/>
  <c r="E91" i="5"/>
  <c r="S90" i="5"/>
  <c r="E90" i="5"/>
  <c r="S89" i="5"/>
  <c r="E89" i="5"/>
  <c r="S88" i="5"/>
  <c r="E88" i="5"/>
  <c r="S87" i="5"/>
  <c r="E87" i="5"/>
  <c r="S86" i="5"/>
  <c r="E86" i="5"/>
  <c r="S85" i="5"/>
  <c r="E85" i="5"/>
  <c r="S84" i="5"/>
  <c r="E84" i="5"/>
  <c r="S83" i="5"/>
  <c r="E83" i="5"/>
  <c r="S82" i="5"/>
  <c r="E82" i="5"/>
  <c r="S81" i="5"/>
  <c r="E81" i="5"/>
  <c r="S80" i="5"/>
  <c r="E80" i="5"/>
  <c r="S79" i="5"/>
  <c r="E79" i="5"/>
  <c r="S78" i="5"/>
  <c r="E78" i="5"/>
  <c r="S77" i="5"/>
  <c r="E77" i="5"/>
  <c r="S76" i="5"/>
  <c r="E76" i="5"/>
  <c r="S75" i="5"/>
  <c r="E75" i="5"/>
  <c r="S74" i="5"/>
  <c r="E74" i="5"/>
  <c r="S73" i="5"/>
  <c r="E73" i="5"/>
  <c r="S72" i="5"/>
  <c r="E72" i="5"/>
  <c r="S71" i="5"/>
  <c r="E71" i="5"/>
  <c r="S70" i="5"/>
  <c r="E70" i="5"/>
  <c r="S69" i="5"/>
  <c r="E69" i="5"/>
  <c r="S68" i="5"/>
  <c r="E68" i="5"/>
  <c r="S67" i="5"/>
  <c r="E67" i="5"/>
  <c r="S66" i="5"/>
  <c r="E66" i="5"/>
  <c r="S65" i="5"/>
  <c r="E65" i="5"/>
  <c r="S64" i="5"/>
  <c r="E64" i="5"/>
  <c r="S63" i="5"/>
  <c r="E63" i="5"/>
  <c r="S62" i="5"/>
  <c r="E62" i="5"/>
  <c r="S61" i="5"/>
  <c r="E61" i="5"/>
  <c r="S60" i="5"/>
  <c r="E60" i="5"/>
  <c r="S59" i="5"/>
  <c r="E59" i="5"/>
  <c r="S58" i="5"/>
  <c r="E58" i="5"/>
  <c r="S57" i="5"/>
  <c r="E57" i="5"/>
  <c r="S56" i="5"/>
  <c r="E56" i="5"/>
  <c r="S55" i="5"/>
  <c r="E55" i="5"/>
  <c r="S54" i="5"/>
  <c r="E54" i="5"/>
  <c r="S53" i="5"/>
  <c r="E53" i="5"/>
  <c r="S52" i="5"/>
  <c r="E52" i="5"/>
  <c r="S51" i="5"/>
  <c r="E51" i="5"/>
  <c r="S50" i="5"/>
  <c r="E50" i="5"/>
  <c r="S49" i="5"/>
  <c r="E49" i="5"/>
  <c r="S48" i="5"/>
  <c r="E48" i="5"/>
  <c r="S47" i="5"/>
  <c r="E47" i="5"/>
  <c r="S46" i="5"/>
  <c r="E46" i="5"/>
  <c r="S45" i="5"/>
  <c r="E45" i="5"/>
  <c r="S44" i="5"/>
  <c r="E44" i="5"/>
  <c r="S43" i="5"/>
  <c r="E43" i="5"/>
  <c r="S42" i="5"/>
  <c r="E42" i="5"/>
  <c r="S41" i="5"/>
  <c r="E41" i="5"/>
  <c r="S40" i="5"/>
  <c r="E40" i="5"/>
  <c r="S39" i="5"/>
  <c r="E39" i="5"/>
  <c r="S38" i="5"/>
  <c r="E38" i="5"/>
  <c r="S37" i="5"/>
  <c r="E37" i="5"/>
  <c r="S36" i="5"/>
  <c r="E36" i="5"/>
  <c r="S35" i="5"/>
  <c r="E35" i="5"/>
  <c r="S34" i="5"/>
  <c r="E34" i="5"/>
  <c r="S33" i="5"/>
  <c r="E33" i="5"/>
  <c r="S32" i="5"/>
  <c r="E32" i="5"/>
  <c r="S31" i="5"/>
  <c r="E31" i="5"/>
  <c r="S30" i="5"/>
  <c r="E30" i="5"/>
  <c r="S29" i="5"/>
  <c r="E29" i="5"/>
  <c r="S28" i="5"/>
  <c r="E28" i="5"/>
  <c r="S23" i="5"/>
  <c r="E23" i="5"/>
  <c r="S22" i="5"/>
  <c r="E22" i="5"/>
  <c r="S21" i="5"/>
  <c r="E21" i="5"/>
  <c r="S20" i="5"/>
  <c r="E20" i="5"/>
  <c r="S19" i="5"/>
  <c r="E19" i="5"/>
  <c r="S18" i="5"/>
  <c r="E18" i="5"/>
  <c r="S17" i="5"/>
  <c r="E17" i="5"/>
  <c r="S16" i="5"/>
  <c r="E16" i="5"/>
  <c r="S15" i="5"/>
  <c r="E15" i="5"/>
  <c r="S14" i="5"/>
  <c r="E14" i="5"/>
  <c r="S13" i="5"/>
  <c r="E13" i="5"/>
  <c r="S12" i="5"/>
  <c r="E12" i="5"/>
  <c r="S11" i="5"/>
  <c r="E11" i="5"/>
  <c r="S10" i="5"/>
  <c r="E10" i="5"/>
  <c r="S9" i="5"/>
  <c r="E9" i="5"/>
  <c r="S8" i="5"/>
  <c r="E8" i="5"/>
  <c r="S7" i="5"/>
  <c r="E7" i="5"/>
  <c r="S6" i="5"/>
  <c r="E6" i="5"/>
  <c r="S5" i="5"/>
  <c r="E5" i="5"/>
  <c r="S4" i="5"/>
  <c r="E4" i="5"/>
  <c r="S3" i="5"/>
  <c r="E3" i="5"/>
  <c r="X1" i="5"/>
  <c r="R61" i="6"/>
  <c r="Q61" i="6"/>
  <c r="P16" i="9" s="1"/>
  <c r="N61" i="6" a="1"/>
  <c r="N61" i="6"/>
  <c r="M61" i="6" a="1"/>
  <c r="M61" i="6"/>
  <c r="L61" i="6"/>
  <c r="F21" i="2" s="1"/>
  <c r="E6" i="6"/>
  <c r="F6" i="6" s="1"/>
  <c r="D6" i="6"/>
  <c r="C6" i="6"/>
  <c r="I5" i="9"/>
  <c r="O30" i="2"/>
  <c r="J36" i="2" s="1"/>
  <c r="K25" i="2"/>
  <c r="P20" i="2"/>
  <c r="P14" i="2"/>
  <c r="X5" i="2" s="1"/>
  <c r="P12" i="2"/>
  <c r="AJ19" i="2" s="1"/>
  <c r="P10" i="2"/>
  <c r="AJ36" i="2" s="1"/>
  <c r="P4" i="2"/>
  <c r="AD20" i="2" s="1"/>
  <c r="F3" i="5" l="1"/>
  <c r="T3" i="5"/>
  <c r="J39" i="2"/>
  <c r="J42" i="2" a="1"/>
  <c r="J42" i="2" s="1"/>
  <c r="AJ38" i="2"/>
  <c r="AD7" i="2"/>
  <c r="X25" i="2"/>
  <c r="AJ30" i="2"/>
  <c r="AD29" i="2"/>
  <c r="AD25" i="2"/>
  <c r="AD21" i="2"/>
  <c r="X23" i="2"/>
  <c r="AJ33" i="2"/>
  <c r="AJ29" i="2"/>
  <c r="X9" i="2"/>
  <c r="AJ22" i="2"/>
  <c r="AJ23" i="2"/>
  <c r="AJ16" i="2"/>
  <c r="AD10" i="2"/>
  <c r="AJ20" i="2"/>
  <c r="AJ34" i="2"/>
  <c r="AD11" i="2"/>
  <c r="X26" i="2"/>
  <c r="AD8" i="2"/>
  <c r="AJ26" i="2"/>
  <c r="AJ31" i="2"/>
  <c r="X8" i="2"/>
  <c r="AJ21" i="2"/>
  <c r="AD9" i="2"/>
  <c r="AD28" i="2"/>
  <c r="AJ28" i="2"/>
  <c r="AJ32" i="2"/>
  <c r="AJ37" i="2"/>
  <c r="H3" i="5"/>
  <c r="AD23" i="2"/>
  <c r="AD14" i="2"/>
  <c r="X14" i="2"/>
  <c r="AD18" i="2"/>
  <c r="AD19" i="2"/>
  <c r="AJ39" i="2"/>
  <c r="AD17" i="2"/>
  <c r="P18" i="2"/>
  <c r="AJ40" i="2"/>
  <c r="AD5" i="2"/>
  <c r="X15" i="2"/>
  <c r="AJ24" i="2"/>
  <c r="AD27" i="2"/>
  <c r="AJ35" i="2"/>
  <c r="X6" i="2"/>
  <c r="AD12" i="2"/>
  <c r="AD15" i="2"/>
  <c r="AD24" i="2"/>
  <c r="AD6" i="2"/>
  <c r="AD13" i="2"/>
  <c r="X7" i="2"/>
  <c r="AJ27" i="2"/>
  <c r="O23" i="2"/>
  <c r="P22" i="2" s="1"/>
  <c r="AJ17" i="2" s="1"/>
  <c r="P8" i="2" l="1"/>
  <c r="X12" i="2" s="1"/>
  <c r="P6" i="2"/>
  <c r="X21" i="2" s="1"/>
  <c r="AJ8" i="2"/>
  <c r="AJ5" i="2"/>
  <c r="X11" i="2"/>
  <c r="AJ4" i="2"/>
  <c r="AJ7" i="2"/>
  <c r="AJ18" i="2"/>
  <c r="P5" i="9"/>
  <c r="Q5" i="9" s="1"/>
  <c r="X19" i="2" l="1"/>
  <c r="AJ6" i="2"/>
  <c r="X16" i="2"/>
  <c r="AJ3" i="2"/>
  <c r="X13" i="2"/>
  <c r="X18" i="2"/>
  <c r="AJ14" i="2"/>
  <c r="AJ11" i="2"/>
  <c r="AJ13" i="2"/>
  <c r="X20" i="2"/>
  <c r="AJ10" i="2"/>
  <c r="AJ1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<sst xmlns="http://schemas.openxmlformats.org/spreadsheetml/2006/main" count="1442" uniqueCount="866">
  <si>
    <t>所有使用</t>
  </si>
  <si>
    <t>这个背景颜色</t>
  </si>
  <si>
    <t>的单元格均为自动计算</t>
  </si>
  <si>
    <t>随便改会弄坏自动表</t>
  </si>
  <si>
    <t>（基本上手动填的就是白色底色）</t>
  </si>
  <si>
    <t>版权所有：</t>
  </si>
  <si>
    <t>塔索里安</t>
  </si>
  <si>
    <t>Cyberpunk：RED</t>
  </si>
  <si>
    <t>自动卡作者：</t>
  </si>
  <si>
    <t>扩展作者：</t>
  </si>
  <si>
    <t>扩展自动卡作者：</t>
  </si>
  <si>
    <t>@zcrss</t>
  </si>
  <si>
    <t>@人间观察</t>
  </si>
  <si>
    <t>@黑客真的不弱的</t>
  </si>
  <si>
    <t>特别鸣谢以上！</t>
  </si>
  <si>
    <t>二改：</t>
  </si>
  <si>
    <t>@光明大主教</t>
  </si>
  <si>
    <t>注意：</t>
  </si>
  <si>
    <t>基础信息</t>
  </si>
  <si>
    <t>人物属性</t>
  </si>
  <si>
    <t>技能</t>
  </si>
  <si>
    <t>战斗技能</t>
  </si>
  <si>
    <t>调整</t>
  </si>
  <si>
    <t>加点</t>
  </si>
  <si>
    <t>技能基准</t>
  </si>
  <si>
    <t>专长</t>
  </si>
  <si>
    <t>请把括号内容改成你实际的选择</t>
  </si>
  <si>
    <t>搏击</t>
  </si>
  <si>
    <t>口袋位置</t>
  </si>
  <si>
    <t>物品/数量</t>
  </si>
  <si>
    <t>智力INT</t>
  </si>
  <si>
    <t>感官技能</t>
  </si>
  <si>
    <t>教育技能</t>
  </si>
  <si>
    <t>闪避</t>
  </si>
  <si>
    <t>描述</t>
  </si>
  <si>
    <t>专注</t>
  </si>
  <si>
    <t>会计</t>
  </si>
  <si>
    <t>[x2]</t>
  </si>
  <si>
    <t>（武术）</t>
  </si>
  <si>
    <t>反应REF</t>
  </si>
  <si>
    <t>隐藏/发现物品</t>
  </si>
  <si>
    <t>驯兽</t>
  </si>
  <si>
    <t>唇语</t>
  </si>
  <si>
    <t>官场</t>
  </si>
  <si>
    <t>敏捷DEX</t>
  </si>
  <si>
    <t>察觉</t>
  </si>
  <si>
    <t>商务</t>
  </si>
  <si>
    <t>近战武器</t>
  </si>
  <si>
    <t>武器名称</t>
  </si>
  <si>
    <t>伤害</t>
  </si>
  <si>
    <t>全自动</t>
  </si>
  <si>
    <t>备注</t>
  </si>
  <si>
    <t>穿甲等级</t>
  </si>
  <si>
    <t>追踪</t>
  </si>
  <si>
    <t>写作</t>
  </si>
  <si>
    <t>远程武器技能</t>
  </si>
  <si>
    <t>技术TECH</t>
  </si>
  <si>
    <t>身体技能</t>
  </si>
  <si>
    <t>犯罪学</t>
  </si>
  <si>
    <t>运动</t>
  </si>
  <si>
    <t>密码学</t>
  </si>
  <si>
    <t>[x2]自动武器</t>
  </si>
  <si>
    <t>酷COOL</t>
  </si>
  <si>
    <t>柔韧</t>
  </si>
  <si>
    <t>推理</t>
  </si>
  <si>
    <t>手枪</t>
  </si>
  <si>
    <t>舞蹈</t>
  </si>
  <si>
    <t>通识</t>
  </si>
  <si>
    <t>[x2]重武器</t>
  </si>
  <si>
    <t>意志WILL</t>
  </si>
  <si>
    <t>忍耐</t>
  </si>
  <si>
    <t>赌博</t>
  </si>
  <si>
    <t>长管武器</t>
  </si>
  <si>
    <t>头像</t>
  </si>
  <si>
    <t>抗折磨/耐药</t>
  </si>
  <si>
    <t>图书馆检索</t>
  </si>
  <si>
    <t>社交技能</t>
  </si>
  <si>
    <t>玩家</t>
  </si>
  <si>
    <t>运气LUCK</t>
  </si>
  <si>
    <t>潜行</t>
  </si>
  <si>
    <t>科学</t>
  </si>
  <si>
    <t>贿赂</t>
  </si>
  <si>
    <t>姓名</t>
  </si>
  <si>
    <t>操作技能</t>
  </si>
  <si>
    <t>┣→</t>
  </si>
  <si>
    <t>（学科）</t>
  </si>
  <si>
    <t>交谈</t>
  </si>
  <si>
    <t>外号</t>
  </si>
  <si>
    <t>移速MOV</t>
  </si>
  <si>
    <t>陆地载具</t>
  </si>
  <si>
    <t>察言观色</t>
  </si>
  <si>
    <t>年龄</t>
  </si>
  <si>
    <t>性别</t>
  </si>
  <si>
    <t>[x2]空中载具</t>
  </si>
  <si>
    <t>┗→</t>
  </si>
  <si>
    <t>审讯</t>
  </si>
  <si>
    <t>故乡</t>
  </si>
  <si>
    <t>体格BODY</t>
  </si>
  <si>
    <t>水上载具</t>
  </si>
  <si>
    <t>战术</t>
  </si>
  <si>
    <t>说服</t>
  </si>
  <si>
    <t>等级</t>
  </si>
  <si>
    <t>声望</t>
  </si>
  <si>
    <t>骑术</t>
  </si>
  <si>
    <t>野外生存</t>
  </si>
  <si>
    <t>个人装扮</t>
  </si>
  <si>
    <t>护甲</t>
  </si>
  <si>
    <t>原生家庭</t>
  </si>
  <si>
    <t>共情EMP</t>
  </si>
  <si>
    <t>表演技能</t>
  </si>
  <si>
    <t>口语表达</t>
  </si>
  <si>
    <t>街头智慧</t>
  </si>
  <si>
    <t>街头俚语</t>
  </si>
  <si>
    <t>交易</t>
  </si>
  <si>
    <t>护甲名称</t>
  </si>
  <si>
    <t>特性备注</t>
  </si>
  <si>
    <t>护甲等级</t>
  </si>
  <si>
    <t>可用点数</t>
  </si>
  <si>
    <t>先攻 调整</t>
  </si>
  <si>
    <t>（母语）</t>
  </si>
  <si>
    <t>服饰与风格</t>
  </si>
  <si>
    <t>头部</t>
  </si>
  <si>
    <t>职业</t>
  </si>
  <si>
    <t>剩余点数</t>
  </si>
  <si>
    <t>技术技能</t>
  </si>
  <si>
    <t>本地专家</t>
  </si>
  <si>
    <t>空中载具技术</t>
  </si>
  <si>
    <t>面部</t>
  </si>
  <si>
    <t>（你家）</t>
  </si>
  <si>
    <t>基础技术</t>
  </si>
  <si>
    <t>状态</t>
  </si>
  <si>
    <t>（地区）</t>
  </si>
  <si>
    <t>赛博技术</t>
  </si>
  <si>
    <t>躯干</t>
  </si>
  <si>
    <t>兼职1</t>
  </si>
  <si>
    <t>影响血量的意志与体格直接加在人物属性</t>
  </si>
  <si>
    <t>职业能力</t>
  </si>
  <si>
    <t>[x2]爆破学</t>
  </si>
  <si>
    <t>生命值</t>
  </si>
  <si>
    <t>/</t>
  </si>
  <si>
    <t>能力名称</t>
  </si>
  <si>
    <t>使用记录</t>
  </si>
  <si>
    <t>[x2]电子/安全技术</t>
  </si>
  <si>
    <t>插板</t>
  </si>
  <si>
    <t>兼职2</t>
  </si>
  <si>
    <t>总点数</t>
  </si>
  <si>
    <t>急救</t>
  </si>
  <si>
    <t>人性值</t>
  </si>
  <si>
    <t>剩余</t>
  </si>
  <si>
    <t>[x2]强化急救</t>
  </si>
  <si>
    <t>胳膊</t>
  </si>
  <si>
    <t>兼职3</t>
  </si>
  <si>
    <t>伪造</t>
  </si>
  <si>
    <t>地面载具技术</t>
  </si>
  <si>
    <t>腿部</t>
  </si>
  <si>
    <t>兼职4</t>
  </si>
  <si>
    <t>严重伤势</t>
  </si>
  <si>
    <t>效果</t>
  </si>
  <si>
    <t>摄影/摄像</t>
  </si>
  <si>
    <t>盾牌</t>
  </si>
  <si>
    <t>兼职5</t>
  </si>
  <si>
    <t>开锁</t>
  </si>
  <si>
    <t>扒窃</t>
  </si>
  <si>
    <t>赛博格</t>
  </si>
  <si>
    <t>兼职6</t>
  </si>
  <si>
    <t>海洋载具技术</t>
  </si>
  <si>
    <t>武器技术</t>
  </si>
  <si>
    <t>掩体</t>
  </si>
  <si>
    <t>兼职7</t>
  </si>
  <si>
    <t>加点列浅红色标记的为必须点的基础加点，技能列红色[x2]的在加点列+2才会+1技能基准</t>
  </si>
  <si>
    <t>死亡豁免调整</t>
  </si>
  <si>
    <t>武器</t>
  </si>
  <si>
    <t>钱包</t>
  </si>
  <si>
    <t>专项预算不会自动计算</t>
  </si>
  <si>
    <t>隐藏等级</t>
  </si>
  <si>
    <t>专项预算</t>
  </si>
  <si>
    <t>时尚预算</t>
  </si>
  <si>
    <t>护甲部位</t>
  </si>
  <si>
    <t>护甲SP</t>
  </si>
  <si>
    <t>妨碍值EV</t>
  </si>
  <si>
    <t>特性</t>
  </si>
  <si>
    <t>占用位置</t>
  </si>
  <si>
    <t>占用槽数</t>
  </si>
  <si>
    <t>流动资金</t>
  </si>
  <si>
    <t>赞助</t>
  </si>
  <si>
    <t>初始资金</t>
  </si>
  <si>
    <t>往来收益</t>
  </si>
  <si>
    <t>往来支出</t>
  </si>
  <si>
    <t>特殊支出</t>
  </si>
  <si>
    <t>总计</t>
  </si>
  <si>
    <t>衣食住行</t>
  </si>
  <si>
    <t>食物</t>
  </si>
  <si>
    <t>花费</t>
  </si>
  <si>
    <t>住所</t>
  </si>
  <si>
    <t>水电</t>
  </si>
  <si>
    <t>网络</t>
  </si>
  <si>
    <t>本月已支付</t>
  </si>
  <si>
    <t>月开销</t>
  </si>
  <si>
    <t>时尚1</t>
  </si>
  <si>
    <t>作战</t>
  </si>
  <si>
    <t>已录入记录</t>
  </si>
  <si>
    <t>帽子</t>
  </si>
  <si>
    <t>内搭</t>
  </si>
  <si>
    <t>外套</t>
  </si>
  <si>
    <t>下装</t>
  </si>
  <si>
    <t>配饰</t>
  </si>
  <si>
    <t>随身物品</t>
  </si>
  <si>
    <t>下方已有物品为示例，使用前请删除</t>
  </si>
  <si>
    <t>仓库</t>
  </si>
  <si>
    <t>物品名称</t>
  </si>
  <si>
    <t>剩余数量</t>
  </si>
  <si>
    <t>所处位置</t>
  </si>
  <si>
    <t>义体统计</t>
  </si>
  <si>
    <t>精神状态</t>
  </si>
  <si>
    <t>仅供参考，不参与自动计算</t>
  </si>
  <si>
    <t>当前人性</t>
  </si>
  <si>
    <t>共情</t>
  </si>
  <si>
    <t>基础义体</t>
  </si>
  <si>
    <t>插槽</t>
  </si>
  <si>
    <t>插件</t>
  </si>
  <si>
    <t>安装设施</t>
  </si>
  <si>
    <t>描述和数据</t>
  </si>
  <si>
    <t>稀有度</t>
  </si>
  <si>
    <t>人性值变动记录</t>
  </si>
  <si>
    <t>项目</t>
  </si>
  <si>
    <t>人性值变化</t>
  </si>
  <si>
    <t>人性变化区分正负！</t>
  </si>
  <si>
    <t>人性损失不小于1的</t>
  </si>
  <si>
    <t>义体减2人性上限</t>
  </si>
  <si>
    <t>全身赛博格减4上限。</t>
  </si>
  <si>
    <t>义体安装并非直接</t>
  </si>
  <si>
    <t>等量损失人性上限</t>
  </si>
  <si>
    <t>常见易错点</t>
  </si>
  <si>
    <t>临时消耗损失</t>
  </si>
  <si>
    <t>药物状态</t>
  </si>
  <si>
    <t>是否成瘾</t>
  </si>
  <si>
    <t>药物名称</t>
  </si>
  <si>
    <t>赛博碟版/网行椅</t>
  </si>
  <si>
    <t>设备型号</t>
  </si>
  <si>
    <t>设备改造</t>
  </si>
  <si>
    <t>最大算力</t>
  </si>
  <si>
    <t>剩余算力</t>
  </si>
  <si>
    <t>价格</t>
  </si>
  <si>
    <t>掌上代理软件</t>
  </si>
  <si>
    <t>掌上助理的软件，部分也有网页端。可以随时使用</t>
  </si>
  <si>
    <t>软件名称</t>
  </si>
  <si>
    <t>会员制</t>
  </si>
  <si>
    <t>网页端</t>
  </si>
  <si>
    <t>所属公司</t>
  </si>
  <si>
    <t>订阅费</t>
  </si>
  <si>
    <t>安全性</t>
  </si>
  <si>
    <t>次/月/年买断</t>
  </si>
  <si>
    <t>是/否</t>
  </si>
  <si>
    <t>网行魔偶</t>
  </si>
  <si>
    <t>必须要搭配电子战平台或者义体才能使用，对目标单位方向释放的高频电波</t>
  </si>
  <si>
    <t>算力占用</t>
  </si>
  <si>
    <t>消耗行动</t>
  </si>
  <si>
    <t>网络攻防程序</t>
  </si>
  <si>
    <t>入侵网络建筑时，双方所使用的常见程序。</t>
  </si>
  <si>
    <t>程序名称</t>
  </si>
  <si>
    <t>ATK/DEF</t>
  </si>
  <si>
    <t>不区分正负！</t>
  </si>
  <si>
    <t>区分正负！</t>
  </si>
  <si>
    <t>I.P.点</t>
  </si>
  <si>
    <t>时间</t>
  </si>
  <si>
    <t>模组</t>
  </si>
  <si>
    <t>声望变更±</t>
  </si>
  <si>
    <t>获得金钱+</t>
  </si>
  <si>
    <t>消耗金钱+</t>
  </si>
  <si>
    <t>获得物品</t>
  </si>
  <si>
    <t>失去物品</t>
  </si>
  <si>
    <t>人性临时变更±</t>
  </si>
  <si>
    <t>I.P.变更±</t>
  </si>
  <si>
    <t>影响来源</t>
  </si>
  <si>
    <t>任务备注</t>
  </si>
  <si>
    <t>重要的时刻</t>
  </si>
  <si>
    <t>已获得</t>
  </si>
  <si>
    <t>技能消耗</t>
  </si>
  <si>
    <t>开卡</t>
  </si>
  <si>
    <t>初始等级</t>
  </si>
  <si>
    <t>成长等级</t>
  </si>
  <si>
    <t>智力</t>
  </si>
  <si>
    <t>反应</t>
  </si>
  <si>
    <t>敏捷</t>
  </si>
  <si>
    <t>技术</t>
  </si>
  <si>
    <t>酷</t>
  </si>
  <si>
    <t>意志</t>
  </si>
  <si>
    <t>运气</t>
  </si>
  <si>
    <t>移速</t>
  </si>
  <si>
    <t>体格</t>
  </si>
  <si>
    <t>技能成长表</t>
  </si>
  <si>
    <t>技能名称</t>
  </si>
  <si>
    <t>原始技能</t>
  </si>
  <si>
    <t>成长技能</t>
  </si>
  <si>
    <t>合计</t>
  </si>
  <si>
    <t>购物清单生成器</t>
  </si>
  <si>
    <t>电子小票出口</t>
  </si>
  <si>
    <t>电子小票插入口</t>
  </si>
  <si>
    <t>购物清单解析器</t>
  </si>
  <si>
    <t>物品名（可备注稀有度等信息）</t>
  </si>
  <si>
    <t>个数</t>
  </si>
  <si>
    <t>单价</t>
  </si>
  <si>
    <t>单项总价</t>
  </si>
  <si>
    <t>打印小票</t>
  </si>
  <si>
    <t>读取小票</t>
  </si>
  <si>
    <t>物品名</t>
  </si>
  <si>
    <t/>
  </si>
  <si>
    <t>复制到右边的大框</t>
  </si>
  <si>
    <t>粘贴为纯文本</t>
  </si>
  <si>
    <t>精神病症状</t>
  </si>
  <si>
    <t>风格</t>
  </si>
  <si>
    <t>名字</t>
  </si>
  <si>
    <t>你们的关系</t>
  </si>
  <si>
    <t>详细描述</t>
  </si>
  <si>
    <t>文化区域</t>
  </si>
  <si>
    <t>母语</t>
  </si>
  <si>
    <t>性格</t>
  </si>
  <si>
    <t>发型</t>
  </si>
  <si>
    <t>衣着风格</t>
  </si>
  <si>
    <t>动机</t>
  </si>
  <si>
    <t>落草的缘由</t>
  </si>
  <si>
    <t>最看重什么</t>
  </si>
  <si>
    <t>最在乎的人</t>
  </si>
  <si>
    <t>对人类观点</t>
  </si>
  <si>
    <t>宝物</t>
  </si>
  <si>
    <t>爱情</t>
  </si>
  <si>
    <t>目标</t>
  </si>
  <si>
    <t>家庭背景及其他</t>
  </si>
  <si>
    <t>发生了什么</t>
  </si>
  <si>
    <t>童年环境</t>
  </si>
  <si>
    <t>家庭危机</t>
  </si>
  <si>
    <t>基于职业的生命路径</t>
  </si>
  <si>
    <t>人物背景故事</t>
  </si>
  <si>
    <t>关系如何</t>
  </si>
  <si>
    <t>什么导致的</t>
  </si>
  <si>
    <t>他会怎么样来找你</t>
  </si>
  <si>
    <t>你打算怎么做</t>
  </si>
  <si>
    <t>名称</t>
  </si>
  <si>
    <t>类型</t>
  </si>
  <si>
    <t>组件名</t>
  </si>
  <si>
    <t>成本</t>
  </si>
  <si>
    <t>槽位</t>
  </si>
  <si>
    <t>头部组件</t>
  </si>
  <si>
    <t>装甲</t>
  </si>
  <si>
    <t>耐久</t>
  </si>
  <si>
    <t>新射表：</t>
  </si>
  <si>
    <t>射表</t>
  </si>
  <si>
    <t>0~12m</t>
  </si>
  <si>
    <t>13~25m</t>
  </si>
  <si>
    <t>26~50m</t>
  </si>
  <si>
    <t>51~100m</t>
  </si>
  <si>
    <t>101~250</t>
  </si>
  <si>
    <t>251~500</t>
  </si>
  <si>
    <t>501~1km</t>
  </si>
  <si>
    <t>出目</t>
  </si>
  <si>
    <t>伤势</t>
  </si>
  <si>
    <t>伤势效果</t>
  </si>
  <si>
    <t>紧急处理</t>
  </si>
  <si>
    <t>医治</t>
  </si>
  <si>
    <t>断臂</t>
  </si>
  <si>
    <t>冲锋枪</t>
  </si>
  <si>
    <t>肠胃撕裂</t>
  </si>
  <si>
    <t>突击步枪</t>
  </si>
  <si>
    <t>气胸</t>
  </si>
  <si>
    <t>弓弩</t>
  </si>
  <si>
    <t>断手</t>
  </si>
  <si>
    <t>狙击步枪</t>
  </si>
  <si>
    <t>榴弹</t>
  </si>
  <si>
    <t>手臂骨折</t>
  </si>
  <si>
    <t>火箭</t>
  </si>
  <si>
    <t>体内异物</t>
  </si>
  <si>
    <t>紧急处理即可永久移除</t>
  </si>
  <si>
    <t>全自动：</t>
  </si>
  <si>
    <t>腿骨折</t>
  </si>
  <si>
    <t>动脉破损</t>
  </si>
  <si>
    <t>每回合损失相当于体格的生命值。</t>
  </si>
  <si>
    <t>脊柱受伤</t>
  </si>
  <si>
    <t>部位</t>
  </si>
  <si>
    <t>瞄准减值</t>
  </si>
  <si>
    <t>穿透目标头部护甲后的最终伤害翻倍。若最终伤害大于目标的一半HP，则直接杀死目标。（对玩家或者部分boss可不应用后一段效果）</t>
  </si>
  <si>
    <t>断腿</t>
  </si>
  <si>
    <t>手臂</t>
  </si>
  <si>
    <t>若穿甲后的伤害大于5，立刻造成手臂骨折的严重伤势效果。若伤害骰出了严重伤势，则更改为断臂。</t>
  </si>
  <si>
    <t>若穿甲后的伤害大于5，立刻造成腿部骨折的严重伤势效果，若伤害骰出了严重伤势，则更改为断腿</t>
  </si>
  <si>
    <t>目盲</t>
  </si>
  <si>
    <t>裆部</t>
  </si>
  <si>
    <t>脑损伤</t>
  </si>
  <si>
    <t>脑震荡</t>
  </si>
  <si>
    <t>下颌粉碎</t>
  </si>
  <si>
    <t>额叶损伤</t>
  </si>
  <si>
    <t>在被移除之前，获得一个赛博精神病的“应激症状”，每次大失败就会触发。</t>
  </si>
  <si>
    <t>甲弹对抗</t>
  </si>
  <si>
    <t>10-14</t>
  </si>
  <si>
    <t>15-19</t>
  </si>
  <si>
    <t>20-25</t>
  </si>
  <si>
    <t>26-32</t>
  </si>
  <si>
    <t>33-40</t>
  </si>
  <si>
    <t>41+</t>
  </si>
  <si>
    <t>头部异物</t>
  </si>
  <si>
    <t>轻甲</t>
  </si>
  <si>
    <t>中甲</t>
  </si>
  <si>
    <t>重甲</t>
  </si>
  <si>
    <t>超重甲</t>
  </si>
  <si>
    <t>战车甲</t>
  </si>
  <si>
    <t>坦克</t>
  </si>
  <si>
    <t>工事</t>
  </si>
  <si>
    <t>半穿</t>
  </si>
  <si>
    <t>微穿</t>
  </si>
  <si>
    <t>不可</t>
  </si>
  <si>
    <t>失去眼睛</t>
  </si>
  <si>
    <t>重手枪</t>
  </si>
  <si>
    <t>全穿</t>
  </si>
  <si>
    <t>颅骨骨裂</t>
  </si>
  <si>
    <t>中威力</t>
  </si>
  <si>
    <t>全威力</t>
  </si>
  <si>
    <t>耳聋</t>
  </si>
  <si>
    <t>轻反器</t>
  </si>
  <si>
    <t>重反器</t>
  </si>
  <si>
    <t>反坦克</t>
  </si>
  <si>
    <t>开放性脑损伤</t>
  </si>
  <si>
    <t>ACPA射表</t>
  </si>
  <si>
    <t>ACPA损坏表</t>
  </si>
  <si>
    <t>26~100m</t>
  </si>
  <si>
    <t>101~500m</t>
  </si>
  <si>
    <t>1km~2km</t>
  </si>
  <si>
    <t>2km~4km</t>
  </si>
  <si>
    <t>1~11：躯干</t>
  </si>
  <si>
    <t>躯干损坏：ACPA报废，除非花费三个动作将其脱下，否则该装甲具有8的EV。</t>
  </si>
  <si>
    <t>重机枪</t>
  </si>
  <si>
    <t>机炮</t>
  </si>
  <si>
    <t>手臂损坏：-2敏捷，-2体格，-1反应，重武器需要部署，安置于手上的系统失效。</t>
  </si>
  <si>
    <t>速射炮</t>
  </si>
  <si>
    <t>加农炮</t>
  </si>
  <si>
    <t>腿部损坏：-2速度，-2体格，不能进行闪避动作。安装在腿部的系统失效。</t>
  </si>
  <si>
    <t>无后座</t>
  </si>
  <si>
    <t>18~19：右腿</t>
  </si>
  <si>
    <t>20：头部</t>
  </si>
  <si>
    <t>头部损坏：无反应加成，现实交互界面系统失效，任何安装在头部的系统也失效。</t>
  </si>
  <si>
    <t xml:space="preserve"> </t>
  </si>
  <si>
    <t>0~100m</t>
  </si>
  <si>
    <t>101~300m</t>
  </si>
  <si>
    <t>301~500m</t>
  </si>
  <si>
    <t>2km~5km</t>
  </si>
  <si>
    <t>5km~10km</t>
  </si>
  <si>
    <t>迫击</t>
  </si>
  <si>
    <t>12~13：左手</t>
    <phoneticPr fontId="33" type="noConversion"/>
  </si>
  <si>
    <t>14~15：右手</t>
    <phoneticPr fontId="33" type="noConversion"/>
  </si>
  <si>
    <t>16~17：左腿</t>
    <phoneticPr fontId="33" type="noConversion"/>
  </si>
  <si>
    <t>体格</t>
    <phoneticPr fontId="33" type="noConversion"/>
  </si>
  <si>
    <t>效果</t>
    <phoneticPr fontId="33" type="noConversion"/>
  </si>
  <si>
    <t>0~3</t>
    <phoneticPr fontId="33" type="noConversion"/>
  </si>
  <si>
    <t>4~7</t>
    <phoneticPr fontId="33" type="noConversion"/>
  </si>
  <si>
    <t>8~11</t>
    <phoneticPr fontId="33" type="noConversion"/>
  </si>
  <si>
    <t>12~15</t>
    <phoneticPr fontId="33" type="noConversion"/>
  </si>
  <si>
    <t>16~19</t>
    <phoneticPr fontId="33" type="noConversion"/>
  </si>
  <si>
    <t>20+</t>
    <phoneticPr fontId="33" type="noConversion"/>
  </si>
  <si>
    <t>徒手、投掷和近战武器伤害骰-1（最低1）</t>
    <phoneticPr fontId="33" type="noConversion"/>
  </si>
  <si>
    <t>无</t>
    <phoneticPr fontId="33" type="noConversion"/>
  </si>
  <si>
    <t>徒手、近战武器伤害骰+1,投掷伤害值+2</t>
    <phoneticPr fontId="33" type="noConversion"/>
  </si>
  <si>
    <t>徒手、近战武器伤害骰+3,投掷伤害值+6</t>
    <phoneticPr fontId="33" type="noConversion"/>
  </si>
  <si>
    <t>徒手、近战武器伤害骰+2,投掷伤害值+4</t>
    <phoneticPr fontId="33" type="noConversion"/>
  </si>
  <si>
    <t>徒手、近战武器伤害骰+4,投掷伤害值+8</t>
    <phoneticPr fontId="33" type="noConversion"/>
  </si>
  <si>
    <t>敏捷</t>
    <phoneticPr fontId="33" type="noConversion"/>
  </si>
  <si>
    <t>0~6</t>
    <phoneticPr fontId="33" type="noConversion"/>
  </si>
  <si>
    <t>7~11</t>
    <phoneticPr fontId="33" type="noConversion"/>
  </si>
  <si>
    <t>16~20</t>
    <phoneticPr fontId="33" type="noConversion"/>
  </si>
  <si>
    <t>徒手、投掷、弓箭和近战武器的ROF额外+4</t>
    <phoneticPr fontId="33" type="noConversion"/>
  </si>
  <si>
    <t>徒手、投掷、弓箭和近战武器的ROF额外+3</t>
    <phoneticPr fontId="33" type="noConversion"/>
  </si>
  <si>
    <t>徒手、投掷、弓箭和近战武器的ROF额外+2</t>
    <phoneticPr fontId="33" type="noConversion"/>
  </si>
  <si>
    <t>徒手、投掷、弓箭和近战武器的ROF额外+1</t>
    <phoneticPr fontId="33" type="noConversion"/>
  </si>
  <si>
    <t>禾仓石/代号乌鸦</t>
    <phoneticPr fontId="33" type="noConversion"/>
  </si>
  <si>
    <t>1、改造的人物卡和之前相比，车卡复杂度略有提升，原因是把装备库存、背包、购物都分开了。自动计算金钱的时候只根据购物记录和行动记录算出，然后把物品存背包，这样就不会因为物品消耗而导致金额返还了。</t>
    <phoneticPr fontId="33" type="noConversion"/>
  </si>
  <si>
    <t>修改记录</t>
    <phoneticPr fontId="33" type="noConversion"/>
  </si>
  <si>
    <t>总人性上限损失</t>
    <phoneticPr fontId="33" type="noConversion"/>
  </si>
  <si>
    <t>人性损失</t>
    <phoneticPr fontId="33" type="noConversion"/>
  </si>
  <si>
    <t>人性上限损失</t>
    <phoneticPr fontId="33" type="noConversion"/>
  </si>
  <si>
    <t>人性变动事件</t>
  </si>
  <si>
    <t>总人性损失</t>
    <phoneticPr fontId="33" type="noConversion"/>
  </si>
  <si>
    <t>某赛博组件</t>
    <phoneticPr fontId="33" type="noConversion"/>
  </si>
  <si>
    <t>某赛博格组件</t>
    <phoneticPr fontId="33" type="noConversion"/>
  </si>
  <si>
    <t>某生物改组件</t>
    <phoneticPr fontId="33" type="noConversion"/>
  </si>
  <si>
    <t>某异人改造</t>
    <phoneticPr fontId="33" type="noConversion"/>
  </si>
  <si>
    <t>某全身赛博格改造</t>
    <phoneticPr fontId="33" type="noConversion"/>
  </si>
  <si>
    <t>低级享乐</t>
    <phoneticPr fontId="33" type="noConversion"/>
  </si>
  <si>
    <t>恢复1d6人性</t>
    <phoneticPr fontId="33" type="noConversion"/>
  </si>
  <si>
    <t>看了一晚上普通超梦</t>
    <phoneticPr fontId="33" type="noConversion"/>
  </si>
  <si>
    <t>D12=出目单11/单12</t>
    <phoneticPr fontId="33" type="noConversion"/>
  </si>
  <si>
    <t>D6=出目双6</t>
    <phoneticPr fontId="33" type="noConversion"/>
  </si>
  <si>
    <t>D8=出目双7+</t>
    <phoneticPr fontId="33" type="noConversion"/>
  </si>
  <si>
    <t>D20=出目单16~20</t>
    <phoneticPr fontId="33" type="noConversion"/>
  </si>
  <si>
    <t>躯干严重伤势表</t>
  </si>
  <si>
    <t>头部严重伤势表</t>
  </si>
  <si>
    <t>每回合损失相当于自身体格的生命值。</t>
  </si>
  <si>
    <t>暴击表</t>
    <phoneticPr fontId="33" type="noConversion"/>
  </si>
  <si>
    <t>D4=出目4个4</t>
    <phoneticPr fontId="33" type="noConversion"/>
  </si>
  <si>
    <t>D10=出目双9+/单10</t>
    <phoneticPr fontId="33" type="noConversion"/>
  </si>
  <si>
    <t>属性关联表</t>
    <phoneticPr fontId="33" type="noConversion"/>
  </si>
  <si>
    <t>三改基础公式来自</t>
    <phoneticPr fontId="33" type="noConversion"/>
  </si>
  <si>
    <t>专长</t>
    <phoneticPr fontId="33" type="noConversion"/>
  </si>
  <si>
    <t>失去断掉的那只手臂.那只手里拿着的任何东西立刻掉落. 基础死亡豁免惩罚+1</t>
  </si>
  <si>
    <t>需肢体移植</t>
  </si>
  <si>
    <t>每回合损失1体格，影响生命上限和相关豁免，下限为2。基础死亡豁免惩罚+1。30分钟后未得到有效处理即死亡。</t>
  </si>
  <si>
    <t>强化17</t>
  </si>
  <si>
    <t>需器官移植</t>
  </si>
  <si>
    <t>每回合损失1敏捷，下限为2。基础死亡豁免惩罚+1。30分钟后未得到有效处理即死亡。</t>
  </si>
  <si>
    <t>强化15</t>
  </si>
  <si>
    <t>失去断掉的那只手.那只手里拿着的任何东西立刻掉落. 基础死亡豁免惩罚+1.</t>
  </si>
  <si>
    <t>骨折的手臂无法再用来干别的事了. 那只手里拿着的任何东西立刻掉落.</t>
  </si>
  <si>
    <t>急救13</t>
  </si>
  <si>
    <t>强化12/手术8</t>
  </si>
  <si>
    <t>在每个你徒步行进了超过 4m/yds 的回合, 你都要重新受到这个严重伤势的额外伤害,直接从生命值里扣除.</t>
  </si>
  <si>
    <t>强化13</t>
  </si>
  <si>
    <t>-4移动和闪避（最小为1）</t>
  </si>
  <si>
    <t>急救10</t>
  </si>
  <si>
    <t>跌倒在地，在之后的两回合内被迫进入趴下状态无法起身，且一切动作-2。基础死亡豁免惩罚 +1.</t>
  </si>
  <si>
    <t>手术15</t>
  </si>
  <si>
    <t>肾/肝爆碎</t>
  </si>
  <si>
    <t>因为剧痛而跳过一回合，下一回合开始你的所有动作-2，直到被移除。30分钟后未得到有效处理即死亡。</t>
  </si>
  <si>
    <t>失去断掉的那条腿. -6 移动 (最小为1) 你无法闪避攻击.基础死亡豁免惩罚+1</t>
  </si>
  <si>
    <t>双眼暂时失明，-10战斗技能、闪避和所有需要视觉的感知鉴定.</t>
  </si>
  <si>
    <t>手术17</t>
  </si>
  <si>
    <t>-2 所有行动. 基础死亡豁免惩罚+1.</t>
  </si>
  <si>
    <t>手术13</t>
  </si>
  <si>
    <t>强化/手术13</t>
  </si>
  <si>
    <t>急救/</t>
  </si>
  <si>
    <t>失去一只眼睛，-4 攻击、闪避和所有需要视觉的感知鉴定.</t>
  </si>
  <si>
    <t>瞄准你头部的精确射击造成的伤害在减去护甲之后倍数变为3. 基础死亡豁免惩罚 +1.</t>
  </si>
  <si>
    <t>所有需要听力的感知鉴定和闪避-4，每次承受超过5的伤害就会跌倒在地。基础死亡豁免惩罚 +1.</t>
  </si>
  <si>
    <t>在被移除之前，获得一个赛博精神病的“长期症状”，智力和意志-2（最低1）。30分钟之内得不到有效处理即死亡。</t>
  </si>
  <si>
    <t>因剧痛导致专注和闪避减半，无法说话，COOL-4。</t>
  </si>
  <si>
    <t>霰弹（独）</t>
    <phoneticPr fontId="33" type="noConversion"/>
  </si>
  <si>
    <t>若穿甲后的伤害大于5，角色立刻因为剧痛倒地，丧失行动能力1d4轮，视为特殊的严重伤势。若对方是赛博格或者拥有无视严重伤势的义体，则同样无视此效果。该部位受到腿部护甲保护。</t>
  </si>
  <si>
    <t>火焰喷射器</t>
  </si>
  <si>
    <t>0~6m</t>
  </si>
  <si>
    <t>7~12m</t>
  </si>
  <si>
    <t>50~100m</t>
  </si>
  <si>
    <r>
      <rPr>
        <b/>
        <sz val="11"/>
        <color rgb="FFFF0000"/>
        <rFont val="黑体"/>
        <family val="3"/>
        <charset val="134"/>
      </rPr>
      <t>全穿</t>
    </r>
    <r>
      <rPr>
        <b/>
        <sz val="11"/>
        <rFont val="黑体"/>
        <family val="3"/>
        <charset val="134"/>
      </rPr>
      <t>：穿透护甲后造成的伤害全部正常结算</t>
    </r>
    <phoneticPr fontId="33" type="noConversion"/>
  </si>
  <si>
    <r>
      <rPr>
        <b/>
        <sz val="11"/>
        <color rgb="FF00B0F0"/>
        <rFont val="黑体"/>
        <family val="3"/>
        <charset val="134"/>
      </rPr>
      <t>半穿</t>
    </r>
    <r>
      <rPr>
        <b/>
        <sz val="11"/>
        <rFont val="黑体"/>
        <family val="3"/>
        <charset val="134"/>
      </rPr>
      <t>：穿透护甲后造成的伤害折半计算（向下取舍）</t>
    </r>
    <phoneticPr fontId="33" type="noConversion"/>
  </si>
  <si>
    <r>
      <rPr>
        <b/>
        <sz val="11"/>
        <color rgb="FF7030A0"/>
        <rFont val="黑体"/>
        <family val="3"/>
        <charset val="134"/>
      </rPr>
      <t>不可</t>
    </r>
    <r>
      <rPr>
        <b/>
        <sz val="11"/>
        <rFont val="黑体"/>
        <family val="3"/>
        <charset val="134"/>
      </rPr>
      <t>：无论最终伤害是否高于护甲，该类型伤害都无法造成实际损害</t>
    </r>
    <phoneticPr fontId="33" type="noConversion"/>
  </si>
  <si>
    <r>
      <t>霰弹通常算作重手枪级别的穿甲能力，而独头弹则是中间威力级。火焰和榴弹有单独的穿甲能力说明。近战武器如果没有特别标注，则都是全威力的穿甲等级。
当护甲数值因为各种原因下降时，其所属等级也会下降。且只有</t>
    </r>
    <r>
      <rPr>
        <sz val="11"/>
        <color rgb="FFFF0000"/>
        <rFont val="黑体"/>
        <family val="3"/>
        <charset val="134"/>
      </rPr>
      <t>全穿</t>
    </r>
    <r>
      <rPr>
        <sz val="11"/>
        <rFont val="黑体"/>
        <family val="3"/>
        <charset val="134"/>
      </rPr>
      <t>或</t>
    </r>
    <r>
      <rPr>
        <sz val="11"/>
        <color rgb="FF00B0F0"/>
        <rFont val="黑体"/>
        <family val="3"/>
        <charset val="134"/>
      </rPr>
      <t>半穿</t>
    </r>
    <r>
      <rPr>
        <sz val="11"/>
        <rFont val="黑体"/>
        <family val="3"/>
        <charset val="134"/>
      </rPr>
      <t>时才能正常造成严重伤势。但是，即便武器或者弹药有“先降低护甲再结算”的描述，也不会改变对方护甲的防护等级。武器以全自动命中着甲目标时且成功穿透造伤时，护甲下降相当于本次全自动命中数的数值，无论什么情况下，“不可”都无法造成任何护甲损伤和生命损伤。</t>
    </r>
    <phoneticPr fontId="33" type="noConversion"/>
  </si>
  <si>
    <r>
      <rPr>
        <b/>
        <sz val="11"/>
        <color rgb="FF92D050"/>
        <rFont val="黑体"/>
        <family val="3"/>
        <charset val="134"/>
      </rPr>
      <t>微穿</t>
    </r>
    <r>
      <rPr>
        <b/>
        <sz val="11"/>
        <rFont val="黑体"/>
        <family val="3"/>
        <charset val="134"/>
      </rPr>
      <t>：穿透护甲后造成的伤害只取1（例如5d6，即便穿甲部分有10，最终也只造成1伤害，部分特殊tag可能有额外伤害）</t>
    </r>
    <phoneticPr fontId="33" type="noConversion"/>
  </si>
  <si>
    <t>稀有度</t>
    <phoneticPr fontId="33" type="noConversion"/>
  </si>
  <si>
    <t>终端定位</t>
  </si>
  <si>
    <t>N</t>
  </si>
  <si>
    <t>锁定目标终端、服务器或者黑客所在的位置，对于可移动的目标，只会显示其当前位置。通常为维修工使用。</t>
  </si>
  <si>
    <t>免费</t>
  </si>
  <si>
    <t>示例，记得删除</t>
  </si>
  <si>
    <t>示例，记得删除</t>
    <phoneticPr fontId="33" type="noConversion"/>
  </si>
  <si>
    <t>利刃</t>
  </si>
  <si>
    <t>1/0</t>
  </si>
  <si>
    <t>击穿一个敌方的防御型程序后，ATK+1。</t>
  </si>
  <si>
    <t>精灵战线 Online</t>
  </si>
  <si>
    <t>月</t>
  </si>
  <si>
    <t>否</t>
  </si>
  <si>
    <t>世嘉达利</t>
  </si>
  <si>
    <t>时下最流行的MMORPG，在全球拥有千万规模的用户账号，日活量高达八十七万。它是一个关于剑与魔法的奇幻世界，有奇幻题材常见的精灵、矮人、龙……它有多个平台的版本可以使用，无论是普通的掌上代理还是尖端的黑客椅，乃至最先进的超梦体验仪，都可以进入游玩。但不同设备的玩家之间性能亦有差异，官方比较推荐使用超梦设备进行游玩。</t>
  </si>
  <si>
    <t>高</t>
  </si>
  <si>
    <t>高手玩家电竞超梦椅</t>
  </si>
  <si>
    <t>那些乳臭未干的小屁孩们要么坐在上面打游戏，要么坐在上面打飞机。但也有些特别的聪明小孩会用那额外的处理芯片来潜入暗网。算力+2，潜入暗网的交互界面检定+1</t>
  </si>
  <si>
    <t>R</t>
  </si>
  <si>
    <t>价格</t>
    <phoneticPr fontId="33" type="noConversion"/>
  </si>
  <si>
    <t>下方已有义体为示例，使用前请删除</t>
    <phoneticPr fontId="33" type="noConversion"/>
  </si>
  <si>
    <t>服部</t>
  </si>
  <si>
    <t>轻</t>
  </si>
  <si>
    <t>左腿部组件</t>
    <phoneticPr fontId="33" type="noConversion"/>
  </si>
  <si>
    <t>右腿部组件</t>
    <phoneticPr fontId="33" type="noConversion"/>
  </si>
  <si>
    <t>ACPA表</t>
    <phoneticPr fontId="33" type="noConversion"/>
  </si>
  <si>
    <t>服部原装线性框架</t>
  </si>
  <si>
    <t>反应+1，敏捷+1 体格14，可以闪避子弹</t>
  </si>
  <si>
    <t>SR</t>
  </si>
  <si>
    <t>服部原装仿生肌肉束</t>
  </si>
  <si>
    <t>高增强，武术+2</t>
  </si>
  <si>
    <t>“猫足”无声靴</t>
  </si>
  <si>
    <t>无声移动，敏捷+1</t>
  </si>
  <si>
    <t>头部系统改造</t>
    <phoneticPr fontId="33" type="noConversion"/>
  </si>
  <si>
    <t>右腿部系统改造</t>
    <phoneticPr fontId="33" type="noConversion"/>
  </si>
  <si>
    <t>左腿部系统改造</t>
    <phoneticPr fontId="33" type="noConversion"/>
  </si>
  <si>
    <t>右手部组件</t>
    <phoneticPr fontId="33" type="noConversion"/>
  </si>
  <si>
    <t>右手部系统改造</t>
    <phoneticPr fontId="33" type="noConversion"/>
  </si>
  <si>
    <t>左手部组件</t>
    <phoneticPr fontId="33" type="noConversion"/>
  </si>
  <si>
    <t>左手部系统改造</t>
    <phoneticPr fontId="33" type="noConversion"/>
  </si>
  <si>
    <t>身体组件</t>
    <phoneticPr fontId="33" type="noConversion"/>
  </si>
  <si>
    <t>身体系统改造</t>
    <phoneticPr fontId="33" type="noConversion"/>
  </si>
  <si>
    <t>中</t>
  </si>
  <si>
    <t>先攻+1</t>
    <phoneticPr fontId="45" type="noConversion"/>
  </si>
  <si>
    <t>加成</t>
    <phoneticPr fontId="45" type="noConversion"/>
  </si>
  <si>
    <t>敌人</t>
    <phoneticPr fontId="33" type="noConversion"/>
  </si>
  <si>
    <t>亲朋好友</t>
    <phoneticPr fontId="33" type="noConversion"/>
  </si>
  <si>
    <t>生命路径</t>
    <phoneticPr fontId="33" type="noConversion"/>
  </si>
  <si>
    <t>不参与自动计算，为记录用。</t>
    <phoneticPr fontId="33" type="noConversion"/>
  </si>
  <si>
    <t>I.P.统计</t>
    <phoneticPr fontId="33" type="noConversion"/>
  </si>
  <si>
    <t>职业成长表</t>
    <phoneticPr fontId="33" type="noConversion"/>
  </si>
  <si>
    <t>职业名称</t>
    <phoneticPr fontId="33" type="noConversion"/>
  </si>
  <si>
    <t>摇滚小子</t>
    <phoneticPr fontId="33" type="noConversion"/>
  </si>
  <si>
    <t>技工</t>
    <phoneticPr fontId="33" type="noConversion"/>
  </si>
  <si>
    <t>技医</t>
    <phoneticPr fontId="33" type="noConversion"/>
  </si>
  <si>
    <t>媒体人</t>
    <phoneticPr fontId="33" type="noConversion"/>
  </si>
  <si>
    <t>企业人</t>
    <phoneticPr fontId="33" type="noConversion"/>
  </si>
  <si>
    <t>佣兵</t>
    <phoneticPr fontId="33" type="noConversion"/>
  </si>
  <si>
    <t>网行者</t>
    <phoneticPr fontId="33" type="noConversion"/>
  </si>
  <si>
    <t>执法者</t>
    <phoneticPr fontId="33" type="noConversion"/>
  </si>
  <si>
    <t>掮客</t>
    <phoneticPr fontId="33" type="noConversion"/>
  </si>
  <si>
    <t>游民</t>
    <phoneticPr fontId="33" type="noConversion"/>
  </si>
  <si>
    <t>消耗I.P.</t>
    <phoneticPr fontId="33" type="noConversion"/>
  </si>
  <si>
    <t>职业消耗</t>
    <phoneticPr fontId="33" type="noConversion"/>
  </si>
  <si>
    <t>往来记录</t>
    <phoneticPr fontId="33" type="noConversion"/>
  </si>
  <si>
    <t>属性</t>
    <phoneticPr fontId="33" type="noConversion"/>
  </si>
  <si>
    <t>注：锻炼消耗的金钱计入往来记录中</t>
    <phoneticPr fontId="33" type="noConversion"/>
  </si>
  <si>
    <t>锻炼结束时间</t>
    <phoneticPr fontId="33" type="noConversion"/>
  </si>
  <si>
    <t>暂不开放</t>
  </si>
  <si>
    <t>种类</t>
  </si>
  <si>
    <t>座位</t>
  </si>
  <si>
    <t>SDP/SP</t>
  </si>
  <si>
    <t>飞/陆</t>
  </si>
  <si>
    <t>战斗速度</t>
  </si>
  <si>
    <t>最高时速</t>
  </si>
  <si>
    <t>续航</t>
  </si>
  <si>
    <t>配件槽</t>
  </si>
  <si>
    <t>油耗</t>
  </si>
  <si>
    <t>特拉克斯 388 杰斐逊</t>
  </si>
  <si>
    <t>轿车</t>
  </si>
  <si>
    <t>100/16</t>
  </si>
  <si>
    <t>陆</t>
  </si>
  <si>
    <t>180km/h</t>
  </si>
  <si>
    <t>700km</t>
  </si>
  <si>
    <t>3（M）</t>
  </si>
  <si>
    <t>10/15/20/26</t>
    <phoneticPr fontId="22" type="noConversion"/>
  </si>
  <si>
    <t>特拉克斯系列一直是企业中层商务人士的首选汽车，它优雅、令人尊敬，最重要的是——它很安全。它从上到下覆盖着装甲，可以穿越地雷爆炸，而它的防弹窗户可以挡住大口径子弹。缺点是什么？尽管其拥有强大的引擎，能够达到令人眼花缭乱的速度，但由于重量惊人，它加速缓慢。但迟到总比不到好。更不用说完好无损了。它的车门和车身自带防弹改装，其玻璃也可以当作掩体，具有11sp和10hp。</t>
    <phoneticPr fontId="22" type="noConversion"/>
  </si>
  <si>
    <t>底盘改造</t>
    <phoneticPr fontId="22" type="noConversion"/>
  </si>
  <si>
    <t>引擎改造</t>
    <phoneticPr fontId="22" type="noConversion"/>
  </si>
  <si>
    <t>将底盘改造为浮空车底盘，续航里程减半，但你可以飞行至最高离地二十米的高度，你驾驶该载具使用的技能从地面载具驾驶更改为飞行载具驾驶。其改造价格是车辆的四分之一</t>
  </si>
  <si>
    <t>悬浮底板</t>
  </si>
  <si>
    <t>M</t>
    <phoneticPr fontId="22" type="noConversion"/>
  </si>
  <si>
    <t>描述</t>
    <phoneticPr fontId="22" type="noConversion"/>
  </si>
  <si>
    <t>载具表</t>
    <phoneticPr fontId="33" type="noConversion"/>
  </si>
  <si>
    <t>以下为示例，使用前请删除</t>
    <phoneticPr fontId="22" type="noConversion"/>
  </si>
  <si>
    <t>尾舱改造</t>
    <phoneticPr fontId="22" type="noConversion"/>
  </si>
  <si>
    <t>驾驶舱改造</t>
    <phoneticPr fontId="22" type="noConversion"/>
  </si>
  <si>
    <t>车头改造</t>
    <phoneticPr fontId="22" type="noConversion"/>
  </si>
  <si>
    <t>车顶改造</t>
    <phoneticPr fontId="22" type="noConversion"/>
  </si>
  <si>
    <t>观瞄改造</t>
    <phoneticPr fontId="22" type="noConversion"/>
  </si>
  <si>
    <t>装甲改造</t>
    <phoneticPr fontId="22" type="noConversion"/>
  </si>
  <si>
    <t>车舱改造</t>
    <phoneticPr fontId="22" type="noConversion"/>
  </si>
  <si>
    <t>配件改造</t>
    <phoneticPr fontId="22" type="noConversion"/>
  </si>
  <si>
    <t>类型</t>
    <phoneticPr fontId="22" type="noConversion"/>
  </si>
  <si>
    <t>醇二引擎</t>
  </si>
  <si>
    <t>将引擎改成醇二引擎，增设油箱的弱点（-8，瞄准时造成2倍伤害），但是车体正面的引擎护甲等级上升一级。其油耗随其类型改变（摩托车低、）其改造价格是车辆的八分之一</t>
    <phoneticPr fontId="22" type="noConversion"/>
  </si>
  <si>
    <t>C-9981车用环绕监控</t>
  </si>
  <si>
    <t>投影窗 将车窗改造为7sp 5sdp的掩体 常见的民用车辆周身投影监控装置，具备基础的图像识别功能，通常是为了辅助康陶的浮空车AI进行自动驾驶使用。</t>
    <phoneticPr fontId="22" type="noConversion"/>
  </si>
  <si>
    <t>人体工程学式飞控操作台</t>
  </si>
  <si>
    <t>需要投影窗 类似浮空车和飞机的智能操作系统，可以让驾驶者舒服地躺在座椅上，用车体的监视系统或是无人机来观察周围的情况，并使用类似游戏手柄的操作杆来进行驾驶。极大地缓解了公路驾驶的疲劳。驾驶技能+2，但一旦车窗报废，或是无人机被摧毁，驾驶员在当回合不能进行任何操作，需要过一个DV15的专注检定才能保证车辆不失控。</t>
    <phoneticPr fontId="22" type="noConversion"/>
  </si>
  <si>
    <t>额外座椅</t>
  </si>
  <si>
    <t>为车辆额外添加2/4个座椅，但牺牲了后舱的空间，无法将后舱改造为其他形态。</t>
    <phoneticPr fontId="22" type="noConversion"/>
  </si>
  <si>
    <t>特殊改造</t>
    <phoneticPr fontId="22" type="noConversion"/>
  </si>
  <si>
    <t>防弹车窗</t>
  </si>
  <si>
    <t>使用加厚的钢化防弹玻璃使车窗变成一面提供了4减伤（不可减免全威力及以上等级火力）的掩体，在面对更高等级穿甲时无效。在被击穿三次后报废。不与棺式驾驶舱兼容</t>
    <phoneticPr fontId="22" type="noConversion"/>
  </si>
  <si>
    <t>中型载具装甲</t>
  </si>
  <si>
    <t>使载具+4sp，最高24。若原本sp小于18，则提升至18sp.获得【分布填充2】特性以及4点减伤。但需要减少十分之一的最高时速，并-1战斗速度。只能安装一种装甲改造。
用轻型装甲钢包裹全车，使其可以抵挡步兵火力。改造价格为原载具的八分之一。</t>
    <phoneticPr fontId="22" type="noConversion"/>
  </si>
  <si>
    <t>探照灯</t>
  </si>
  <si>
    <t>安装一个可以自由操作的大功率探照灯，指向50m以内的目标时，目标需要过一个DV14的反应检定，失败则受到眼睛受损的严重伤势三回合。以此方式造成的严重伤势不会造成额外伤害。</t>
    <phoneticPr fontId="22" type="noConversion"/>
  </si>
  <si>
    <t>撞角</t>
  </si>
  <si>
    <t>为车头添加一个冲撞用的铲斗，当以撞击的方式伤害他人或载具时，你造成伤害的乘数+1</t>
    <phoneticPr fontId="22" type="noConversion"/>
  </si>
  <si>
    <t>自律化炮塔</t>
  </si>
  <si>
    <t>需要投影窗/HUD 让你的炮塔更加智能化，乘员只需要在HUD上标记敌方单位，炮塔就能自动对该单位开火，只能安装在低级炮塔上。炮塔的战斗技能为14，加价2000可以购买高级战斗芯片，升级到16。加价5000升级至20</t>
    <phoneticPr fontId="22" type="noConversion"/>
  </si>
  <si>
    <t>重型轮胎</t>
  </si>
  <si>
    <t>轮胎的摧毁阈值+20，且将护甲等级提升至超重甲。只能安装在使用轮胎的陆行载具上。</t>
    <phoneticPr fontId="22" type="noConversion"/>
  </si>
  <si>
    <t>野战雷达</t>
  </si>
  <si>
    <t>2M</t>
    <phoneticPr fontId="22" type="noConversion"/>
  </si>
  <si>
    <t>占据两个观瞄配件槽 军用载具的野战雷达，用以侦测5km内无遮挡的载具、人性轮廓和建筑物。若在空中50m以上高度使用，则侦测距离翻倍。</t>
    <phoneticPr fontId="22" type="noConversion"/>
  </si>
  <si>
    <t>合计费用：</t>
    <phoneticPr fontId="22" type="noConversion"/>
  </si>
  <si>
    <t>单发射速</t>
  </si>
  <si>
    <t>全自动弹幕</t>
  </si>
  <si>
    <t>精度</t>
  </si>
  <si>
    <t>射程</t>
    <phoneticPr fontId="22" type="noConversion"/>
  </si>
  <si>
    <t>120mm滑膛炮</t>
  </si>
  <si>
    <t>加农炮（重）</t>
  </si>
  <si>
    <t>10D12+50</t>
  </si>
  <si>
    <t>常见的120mm重型滑膛炮，被普遍安装在现代主战坦克和重型步行机上，是当今最常见的前线反装甲火力配置。也能发射高爆弹药用以反人员和工事。</t>
  </si>
  <si>
    <t>SSR</t>
  </si>
  <si>
    <t>等待正式版</t>
    <phoneticPr fontId="22" type="noConversion"/>
  </si>
  <si>
    <t>四改：</t>
    <phoneticPr fontId="33" type="noConversion"/>
  </si>
  <si>
    <t>猫</t>
    <phoneticPr fontId="33" type="noConversion"/>
  </si>
  <si>
    <t>服部原装高功能潜入系统</t>
  </si>
  <si>
    <t>反应+1，虚拟实景交互界面</t>
  </si>
  <si>
    <t>热能武士刀</t>
  </si>
  <si>
    <t>数据同热能武士刀，但伤害额外加2粒骰子，且拥有重反器材级别的穿甲能力</t>
  </si>
  <si>
    <t>SR</t>
    <phoneticPr fontId="45" type="noConversion"/>
  </si>
  <si>
    <t>轻</t>
    <phoneticPr fontId="45" type="noConversion"/>
  </si>
  <si>
    <t>“武士道”兴奋剂注射器</t>
  </si>
  <si>
    <t>N</t>
    <phoneticPr fontId="45" type="noConversion"/>
  </si>
  <si>
    <t>这套简陋的系统实际上并不能让驾驶员活下来，只是能让他活着。它里面配备了两种特制的兴奋剂，一种在战斗中注射，另一种在驾驶员遭到重创时注射。前者是臭名昭著的黑蕾丝，而后者则是令人恐惧的“飙血者”。它可以让驾驶员保持极度兴奋状态，无视身上的伤口和疼痛，继续驾驶直到失血过多而死。而它也会如其名字一样加速驾驶员的流血速度。许多报告显示重创的荒坂装甲骑兵会在临死前爆发出惊人的战斗力，是无数军科士兵的噩梦。</t>
  </si>
  <si>
    <t>/</t>
    <phoneticPr fontId="45" type="noConversion"/>
  </si>
  <si>
    <t>全向动力轮</t>
  </si>
  <si>
    <t>移动+2，只能安装在轻型ACPA身上，这种极其灵敏的全向轮可以在熟练的装甲骑兵手上达到极其夸张的机动性。使ACPA可以闪避200m外朝其射击的火力。</t>
  </si>
  <si>
    <t>移动+1</t>
    <phoneticPr fontId="45" type="noConversion"/>
  </si>
  <si>
    <t>液压重拳</t>
  </si>
  <si>
    <t>拳击力度增加1D6，不能和武器挂架共存。可以和高级武器挂架共存。</t>
  </si>
  <si>
    <t>纳米自修复系统</t>
  </si>
  <si>
    <t>一套由编程式纳米蜂群和液态金属原料组成的系统，可以在战场上及时对受损部位进行修补。每回合能恢复部位2点SDP，全身最多恢复20点。</t>
  </si>
  <si>
    <t>虚拟实景交互界面</t>
  </si>
  <si>
    <t>先攻+2，反应+2</t>
    <phoneticPr fontId="45" type="noConversion"/>
  </si>
  <si>
    <t>爽飙装甲的唯一方式，虚拟实境界面为装甲骑兵解析他所处的环境，并以复杂的图形和有限的听觉警告向他展示信息。 在这一级的系统上，驾驶动力装甲与进行网跑已没有什么区别。熟练的装甲骑兵在装备此系统后将变得极为致命。整合了防护眩光、激光夜视仪、远程瞄准、热成像、图像增强、卫星上行链路、多目标瞄准系统和拾音降噪侦测系统</t>
    <phoneticPr fontId="45" type="noConversion"/>
  </si>
  <si>
    <t>防护炫光</t>
  </si>
  <si>
    <t>激光夜视仪</t>
  </si>
  <si>
    <t>免疫闪光弹和高功率手电筒的影响。</t>
  </si>
  <si>
    <t>提供夜视功能，在微光和无光环境下可视距离3km，并可以看见红外信号。</t>
  </si>
  <si>
    <t>远程瞄准</t>
  </si>
  <si>
    <t>提供最远5km的望远功能，并可以通过智能武器上传链路提供弹道瞄准。</t>
  </si>
  <si>
    <t>热成像</t>
  </si>
  <si>
    <t>图像增强</t>
  </si>
  <si>
    <t>提供热成像视觉功能，可以探测2km内的热能信号，并反馈在视觉上。可以穿透常规烟雾，不能穿透硬物。</t>
  </si>
  <si>
    <t>配有更宽的观察区域和 "快速变焦"，觉察系技能出1可重骰一次。</t>
  </si>
  <si>
    <t>4-9</t>
    <phoneticPr fontId="33" type="noConversion"/>
  </si>
  <si>
    <t>调整</t>
    <phoneticPr fontId="33" type="noConversion"/>
  </si>
  <si>
    <t>结果</t>
    <phoneticPr fontId="33" type="noConversion"/>
  </si>
  <si>
    <t>人性上限</t>
    <phoneticPr fontId="33" type="noConversion"/>
  </si>
  <si>
    <t>职业兼职规则以RF为准</t>
    <phoneticPr fontId="33" type="noConversion"/>
  </si>
  <si>
    <t>持用手</t>
  </si>
  <si>
    <t>达拉理工“吠舍”自动手枪</t>
  </si>
  <si>
    <t>低</t>
  </si>
  <si>
    <t>中型手枪（自动）</t>
  </si>
  <si>
    <t>20（.22lr）</t>
  </si>
  <si>
    <t>单</t>
  </si>
  <si>
    <t>4x8</t>
  </si>
  <si>
    <t>2D6</t>
  </si>
  <si>
    <t>可靠性</t>
  </si>
  <si>
    <t>弹容量（口径）</t>
  </si>
  <si>
    <t>精准</t>
  </si>
  <si>
    <t>客制槽位</t>
  </si>
  <si>
    <t>隐藏等级</t>
    <phoneticPr fontId="33" type="noConversion"/>
  </si>
  <si>
    <t>是</t>
    <phoneticPr fontId="33" type="noConversion"/>
  </si>
  <si>
    <t>属性会同步到人物卡界面，插件特效不会自动计算，请手动修改武器属性-以下为示例，使用前请删除</t>
    <phoneticPr fontId="33" type="noConversion"/>
  </si>
  <si>
    <t>描述</t>
    <phoneticPr fontId="33" type="noConversion"/>
  </si>
  <si>
    <t>配件</t>
    <phoneticPr fontId="33" type="noConversion"/>
  </si>
  <si>
    <t>红外夜视镜</t>
  </si>
  <si>
    <t>瞄具</t>
  </si>
  <si>
    <t>减少你在黑暗条件下射击目标时所受到的惩罚，使其降为0。透过瞄准镜，你可以区分热肉和冷金属，但不能更具体地区分。例如，你无法从远处看到他们的品牌，或看到物体内部。</t>
    <phoneticPr fontId="33" type="noConversion"/>
  </si>
  <si>
    <t>消音器</t>
  </si>
  <si>
    <t>枪口</t>
  </si>
  <si>
    <t>吸收枪口火焰和声音，不能做到完全无声，在不搭配亚音速弹药使用的情况下，只能保证在15m开外保持消音。搭配亚音速弹药可以做到全距离消音，就像打了个喷嚏一样。</t>
    <phoneticPr fontId="33" type="noConversion"/>
  </si>
  <si>
    <t>武器</t>
    <phoneticPr fontId="33" type="noConversion"/>
  </si>
  <si>
    <t>部位</t>
    <phoneticPr fontId="33" type="noConversion"/>
  </si>
  <si>
    <t>单镰</t>
  </si>
  <si>
    <t>中</t>
    <phoneticPr fontId="33" type="noConversion"/>
  </si>
  <si>
    <t>射速/攻速</t>
  </si>
  <si>
    <t>射速/攻速</t>
    <phoneticPr fontId="33" type="noConversion"/>
  </si>
  <si>
    <t>轻型</t>
  </si>
  <si>
    <t>1D6</t>
  </si>
  <si>
    <t>全威力</t>
    <phoneticPr fontId="33" type="noConversion"/>
  </si>
  <si>
    <t>重型</t>
  </si>
  <si>
    <t>双</t>
    <phoneticPr fontId="33" type="noConversion"/>
  </si>
  <si>
    <t>否</t>
    <phoneticPr fontId="33" type="noConversion"/>
  </si>
  <si>
    <t>智刃链接</t>
  </si>
  <si>
    <t>为近战武器安装的智能链接，安装在握柄处。同样需要使用者有皮下握把或交互接口和神经链接才能与之相连。成功链接后，你的近战武器命中+1，且不会因为任何非主动原因导致脱手。</t>
    <phoneticPr fontId="33" type="noConversion"/>
  </si>
  <si>
    <t>特殊</t>
  </si>
  <si>
    <t>以下为示例，使用前请删除</t>
    <phoneticPr fontId="33" type="noConversion"/>
  </si>
  <si>
    <t>合法外穿</t>
  </si>
  <si>
    <t>口袋容量</t>
  </si>
  <si>
    <t>低后座 达拉理工为街头交火提供的便携廉价选择。由廉价聚合物和水管钢材打印成的全自动手枪，使用.22单纯因为节省成本而使用的材料膛压不足，9mm的子弹会直接炸膛。</t>
    <phoneticPr fontId="33" type="noConversion"/>
  </si>
  <si>
    <t>可以用来COS忍者，或者单纯用它来收麦子。</t>
    <phoneticPr fontId="33" type="noConversion"/>
  </si>
  <si>
    <t>大龙 剑鞭</t>
  </si>
  <si>
    <t>3或2</t>
  </si>
  <si>
    <t>一种在最新技术下打造的传武兵器，可长可短，攻击方式相当灵活。平时收纳时看起来只是一把普通中式长剑，但只要按一下刀柄上的按钮，就能变成一把锋利的长鞭。
特殊攻击模式：一回合有一次变更攻击模式的机会，可变更为长鞭，ROF-1.该模式下攻击范围+2m，也可以如霰弹枪一样对面前4m长6m宽的区域进行范围攻击，当使用后者的攻击模式时，伤害骰额外-1。.</t>
    <phoneticPr fontId="33" type="noConversion"/>
  </si>
  <si>
    <t>5D6</t>
  </si>
  <si>
    <t>轻型装甲夹克</t>
  </si>
  <si>
    <t>Y</t>
  </si>
  <si>
    <t>9</t>
  </si>
  <si>
    <t>2m</t>
  </si>
  <si>
    <t>防震内衬 一些深入暗地采访的记者会使用的装甲夹克，精心设计的护板既不妨碍运动，又能抱住小命。它也是城市佣兵的一款非常常见的装束。</t>
  </si>
  <si>
    <t>防震内衬</t>
  </si>
  <si>
    <t>老兵头盔</t>
  </si>
  <si>
    <t>跳弹 谁知道它参加过公司战争还是中美洲战争，也许参加过越南战争，说不定陪你爷爷的爷爷打过德国人。别指望它能挡住什么，但你可以相信奇迹。</t>
  </si>
  <si>
    <t>跳弹</t>
    <phoneticPr fontId="22" type="noConversion"/>
  </si>
  <si>
    <t>稀有度</t>
    <phoneticPr fontId="22" type="noConversion"/>
  </si>
  <si>
    <t>嵌板式防弹裤</t>
  </si>
  <si>
    <t>15</t>
  </si>
  <si>
    <t>2s</t>
  </si>
  <si>
    <t>复合衬垫（1）用防弹合金板和重型凯夫拉纤维缝制的裤子，能有效保护你的老二。</t>
    <phoneticPr fontId="22" type="noConversion"/>
  </si>
  <si>
    <t>复合衬垫（1）</t>
    <phoneticPr fontId="22" type="noConversion"/>
  </si>
  <si>
    <t>罗夏™波动面具</t>
  </si>
  <si>
    <t>R</t>
    <phoneticPr fontId="22" type="noConversion"/>
  </si>
  <si>
    <t>/</t>
    <phoneticPr fontId="22" type="noConversion"/>
  </si>
  <si>
    <t>有些人不太喜欢让别人看清自己的脸色，又不想做那种有些疼还需要勤维护的义体手术，那这个全息面具就是为他们准备的。它通过全息投影技术将一整块罗夏墨迹测试投射在使用者的脸部，可以随使用者的心情自由变化图案。不过说句实话，那只是一滩对称的墨迹而已，谁能知道它到底代表了什么？（无法和12sp以上的头盔兼容）</t>
  </si>
  <si>
    <t>他人无法对你察言观色</t>
  </si>
  <si>
    <t>壮志凌云™ 飞行员夹克</t>
  </si>
  <si>
    <t>壮志凌云™ 复古牛仔裤</t>
  </si>
  <si>
    <t>风格</t>
    <phoneticPr fontId="22" type="noConversion"/>
  </si>
  <si>
    <t>实用主义</t>
  </si>
  <si>
    <t>时尚有时候是新潮，有时候也是复古。这套由芳纶纤维加人造皮革纺织的飞行员夹克就很好诠释了这一点。它既保暖又结实，集绝缘、保暖、防风、耐磨等优点于一身，号称穿50年都不会坏。同时附件还有自定义的魔术贴徽章，让你穿出属于自己的范。</t>
  </si>
  <si>
    <t>牛仔裤一直是美国鼎盛时期的象征物，直到解体后的今日，它依然在街头巷尾流行。它的版式和材质和一百年前没有多大差别，即便如此，人们在这个时代依旧热爱通它。而它与皮夹克的搭配更是经典中的经典。</t>
  </si>
  <si>
    <t>自带永不损坏的4sp，
服饰风格+1</t>
  </si>
  <si>
    <t>自带永不损坏的4sp</t>
  </si>
  <si>
    <t>机能异端主义</t>
  </si>
  <si>
    <t>时尚2</t>
    <phoneticPr fontId="22" type="noConversion"/>
  </si>
  <si>
    <t>日常</t>
    <phoneticPr fontId="22" type="noConversion"/>
  </si>
  <si>
    <t>剩余子弹</t>
    <phoneticPr fontId="33" type="noConversion"/>
  </si>
  <si>
    <t>剩余SP</t>
    <phoneticPr fontId="33" type="noConversion"/>
  </si>
  <si>
    <t>完整SP</t>
    <phoneticPr fontId="33" type="noConversion"/>
  </si>
  <si>
    <t>EV妨碍值</t>
    <phoneticPr fontId="33" type="noConversion"/>
  </si>
  <si>
    <t>EV合计</t>
    <phoneticPr fontId="33" type="noConversion"/>
  </si>
  <si>
    <t>请手动填写当前的生命值</t>
    <phoneticPr fontId="33" type="noConversion"/>
  </si>
  <si>
    <t>口袋</t>
    <phoneticPr fontId="33" type="noConversion"/>
  </si>
  <si>
    <t>伤势状态</t>
  </si>
  <si>
    <t>救治难度</t>
  </si>
  <si>
    <t>绘画/速写/雕刻</t>
    <phoneticPr fontId="33" type="noConversion"/>
  </si>
  <si>
    <t>乐器演奏</t>
    <phoneticPr fontId="33" type="noConversion"/>
  </si>
  <si>
    <t>可选规则以RF为准</t>
    <phoneticPr fontId="33" type="noConversion"/>
  </si>
  <si>
    <t>2、属性点和技能点和初始资金请按GM所给的开卡条件填写</t>
    <phoneticPr fontId="33" type="noConversion"/>
  </si>
  <si>
    <t>兼职8</t>
    <phoneticPr fontId="33" type="noConversion"/>
  </si>
  <si>
    <t>兼职9</t>
    <phoneticPr fontId="33" type="noConversion"/>
  </si>
  <si>
    <t>整合型战场火控装置</t>
  </si>
  <si>
    <t>具备多目标瞄准系统功能，和智能索敌锁定系统冲突。你可以随意【锁定】任何目标，但一回合最多一个。若整合的武器系统中带有需要锁定的武器，则免去锁定需要的动作。</t>
  </si>
  <si>
    <t>精准度+1</t>
    <phoneticPr fontId="45" type="noConversion"/>
  </si>
  <si>
    <t>卫星上行链路</t>
  </si>
  <si>
    <t>多目标瞄准系统</t>
  </si>
  <si>
    <t>拾音降噪侦测系统</t>
  </si>
  <si>
    <t>允许动力装甲直接与轨道上的通信或侦察卫星连接，并在露天野外区域保持通讯信号良好。</t>
  </si>
  <si>
    <t>可以将多件已链接的进攻系统/手持武器整合进自己战斗动作的一部分。但本回合每多用一件武器，命中就额外-2。</t>
  </si>
  <si>
    <t>能精确识别并过滤战场上的噪音，从中分拣出有用的信息。可以听见最远70米外的细微动静。</t>
  </si>
  <si>
    <t>察觉（听）+2</t>
    <phoneticPr fontId="45" type="noConversion"/>
  </si>
  <si>
    <t>R</t>
    <phoneticPr fontId="45" type="noConversion"/>
  </si>
  <si>
    <t>“蜘蛛骨”强攻手甲</t>
  </si>
  <si>
    <t>超控增强，额外附带一只同样灵敏的机械手臂，损失20hp后，额外的机械臂损坏</t>
  </si>
  <si>
    <t>注：因左右手相同不叠加加成，故以不同部件示范</t>
    <phoneticPr fontId="45" type="noConversion"/>
  </si>
  <si>
    <t>电子干扰指向性天线</t>
  </si>
  <si>
    <t>每回合一次，干扰一发锁定你的导弹，使其脱离锁定并偏离。无法干扰无制导火箭弹，只能安装一次。</t>
  </si>
  <si>
    <t>武器</t>
    <phoneticPr fontId="45" type="noConversion"/>
  </si>
  <si>
    <t>射速</t>
  </si>
  <si>
    <t>弹容（弹药）</t>
  </si>
  <si>
    <t>全自动公式</t>
  </si>
  <si>
    <t>射程</t>
  </si>
  <si>
    <t>宪法军工 .50重机枪</t>
  </si>
  <si>
    <t>仅全自动</t>
  </si>
  <si>
    <t>机枪（轻）</t>
  </si>
  <si>
    <t>100（.50BMG）</t>
  </si>
  <si>
    <t>轻反器材</t>
  </si>
  <si>
    <t>2x2 / 3x8</t>
  </si>
  <si>
    <t>600m</t>
  </si>
  <si>
    <t>重机枪 最常见的ACPA武装之一，有大量的遗留库存，因此价格十分实惠。通常是固定在吉普车上的自卫武器。可以被轻型ACPA双手持握，也可以安装在重型ACPA的手臂上。</t>
    <phoneticPr fontId="45" type="noConversion"/>
  </si>
  <si>
    <t>重武（重）</t>
  </si>
  <si>
    <t>4（火箭弹）</t>
  </si>
  <si>
    <t>6D12</t>
  </si>
  <si>
    <t>重反器材</t>
  </si>
  <si>
    <t>1.7km</t>
  </si>
  <si>
    <t>无后座炮 发射火箭弹药和导弹的大口径无后座炮，战场上的装甲克星。通常会被安装在肩膀的武器系统上，少数时候由轻型ACPA携带，如同步兵一样肩扛发射。弹药类型和效果同单兵火箭弹。只能安装智能链接</t>
    <phoneticPr fontId="45" type="noConversion"/>
  </si>
  <si>
    <t>主职业</t>
    <phoneticPr fontId="33" type="noConversion"/>
  </si>
  <si>
    <t>改件槽</t>
    <phoneticPr fontId="45" type="noConversion"/>
  </si>
  <si>
    <t>调整了义体卡，细分了人性上限损失和人性损失，将背包卡改为单行方便复制粘贴，更新随版本变化的部分速查表的数值，调整部分格式</t>
    <phoneticPr fontId="33" type="noConversion"/>
  </si>
  <si>
    <t>鲨包1.9更新伤势表，微调网行卡方便复制粘贴</t>
    <phoneticPr fontId="33" type="noConversion"/>
  </si>
  <si>
    <t>修复部分公式错误，调整往来记录-IP表，增加载具卡，增加更多自动识别，重制装备卡，钱包及衣食住行移动到购物助手中，方便且集中消费</t>
    <phoneticPr fontId="33" type="noConversion"/>
  </si>
  <si>
    <t>完善ACPA卡</t>
    <phoneticPr fontId="33" type="noConversion"/>
  </si>
  <si>
    <t>（外语）</t>
    <phoneticPr fontId="33" type="noConversion"/>
  </si>
  <si>
    <t>扮演/伪装</t>
    <phoneticPr fontId="33" type="noConversion"/>
  </si>
  <si>
    <t>弓术</t>
    <phoneticPr fontId="33" type="noConversion"/>
  </si>
  <si>
    <t>（学科）</t>
    <phoneticPr fontId="33" type="noConversion"/>
  </si>
  <si>
    <t>1+1</t>
    <phoneticPr fontId="33" type="noConversion"/>
  </si>
  <si>
    <t>2+1</t>
    <phoneticPr fontId="33" type="noConversion"/>
  </si>
  <si>
    <t>跳过一回合，下次大失败时会重复触发。</t>
    <phoneticPr fontId="33" type="noConversion"/>
  </si>
  <si>
    <t>IFAR-8 火箭突击炮</t>
    <phoneticPr fontId="45" type="noConversion"/>
  </si>
  <si>
    <t>以下为示例，使用前请删除，注！示例价格不等于实际价格，请以最新版本新黑市为准</t>
    <phoneticPr fontId="33" type="noConversion"/>
  </si>
  <si>
    <t>打击乐器</t>
    <phoneticPr fontId="33" type="noConversion"/>
  </si>
  <si>
    <t>管类乐器</t>
    <phoneticPr fontId="33" type="noConversion"/>
  </si>
  <si>
    <t>弦类乐器</t>
    <phoneticPr fontId="33" type="noConversion"/>
  </si>
  <si>
    <t>键盘乐器</t>
    <phoneticPr fontId="33" type="noConversion"/>
  </si>
  <si>
    <t>电子乐器</t>
    <phoneticPr fontId="33" type="noConversion"/>
  </si>
  <si>
    <t>鲨包1.91修改伤势表，技能表-乐器演奏优化</t>
    <phoneticPr fontId="3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</si>
</sst>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_);[Red]\(0\)"/>
  </numFmts>
  <fonts count="55" x14ac:knownFonts="1">
    <font>
      <sz val="11"/>
      <name val="宋体"/>
      <charset val="134"/>
    </font>
    <font>
      <b/>
      <sz val="11"/>
      <color rgb="FF000000"/>
      <name val="黑体"/>
      <family val="3"/>
      <charset val="134"/>
    </font>
    <font>
      <sz val="11"/>
      <color rgb="FFFFFFFF"/>
      <name val="黑体"/>
      <family val="3"/>
      <charset val="134"/>
    </font>
    <font>
      <sz val="11"/>
      <color rgb="FF000000"/>
      <name val="黑体"/>
      <family val="3"/>
      <charset val="134"/>
    </font>
    <font>
      <sz val="11"/>
      <color rgb="FF000000"/>
      <name val="幼圆"/>
      <family val="3"/>
      <charset val="134"/>
    </font>
    <font>
      <sz val="12"/>
      <color rgb="FF0070C0"/>
      <name val="幼圆"/>
      <family val="3"/>
      <charset val="134"/>
    </font>
    <font>
      <sz val="12"/>
      <color rgb="FF578D31"/>
      <name val="幼圆"/>
      <family val="3"/>
      <charset val="134"/>
    </font>
    <font>
      <sz val="12"/>
      <color rgb="FF7030A0"/>
      <name val="幼圆"/>
      <family val="3"/>
      <charset val="134"/>
    </font>
    <font>
      <b/>
      <sz val="11"/>
      <color rgb="FFFF0000"/>
      <name val="黑体"/>
      <family val="3"/>
      <charset val="134"/>
    </font>
    <font>
      <sz val="11"/>
      <color rgb="FFFF0000"/>
      <name val="黑体"/>
      <family val="3"/>
      <charset val="134"/>
    </font>
    <font>
      <b/>
      <sz val="11"/>
      <color rgb="FF00B0F0"/>
      <name val="黑体"/>
      <family val="3"/>
      <charset val="134"/>
    </font>
    <font>
      <b/>
      <sz val="11"/>
      <color rgb="FF7030A0"/>
      <name val="黑体"/>
      <family val="3"/>
      <charset val="134"/>
    </font>
    <font>
      <sz val="11"/>
      <name val="黑体"/>
      <family val="3"/>
      <charset val="134"/>
    </font>
    <font>
      <b/>
      <sz val="11"/>
      <color rgb="FFFFFFFF"/>
      <name val="黑体"/>
      <family val="3"/>
      <charset val="134"/>
    </font>
    <font>
      <sz val="11"/>
      <color rgb="FF000000"/>
      <name val="宋体"/>
      <family val="3"/>
      <charset val="134"/>
    </font>
    <font>
      <sz val="11"/>
      <color rgb="FFFFFFFF"/>
      <name val="宋体"/>
      <family val="3"/>
      <charset val="134"/>
    </font>
    <font>
      <sz val="16"/>
      <color rgb="FFFFFFFF"/>
      <name val="宋体"/>
      <family val="3"/>
      <charset val="134"/>
    </font>
    <font>
      <sz val="11"/>
      <color rgb="FFC91D32"/>
      <name val="宋体"/>
      <family val="3"/>
      <charset val="134"/>
    </font>
    <font>
      <sz val="11"/>
      <color theme="0"/>
      <name val="宋体"/>
      <family val="3"/>
      <charset val="134"/>
    </font>
    <font>
      <sz val="11"/>
      <color theme="0"/>
      <name val="黑体"/>
      <family val="3"/>
      <charset val="134"/>
    </font>
    <font>
      <sz val="11"/>
      <color theme="1"/>
      <name val="黑体"/>
      <family val="3"/>
      <charset val="134"/>
    </font>
    <font>
      <sz val="11"/>
      <color rgb="FF3A3838"/>
      <name val="宋体"/>
      <family val="3"/>
      <charset val="134"/>
    </font>
    <font>
      <sz val="9"/>
      <name val="宋体"/>
      <family val="3"/>
      <charset val="134"/>
    </font>
    <font>
      <sz val="9"/>
      <color rgb="FFFFFFFF"/>
      <name val="宋体"/>
      <family val="3"/>
      <charset val="134"/>
    </font>
    <font>
      <sz val="10"/>
      <color rgb="FF000000"/>
      <name val="宋体"/>
      <family val="3"/>
      <charset val="134"/>
    </font>
    <font>
      <sz val="10"/>
      <color rgb="FFFFFFFF"/>
      <name val="宋体"/>
      <family val="3"/>
      <charset val="134"/>
    </font>
    <font>
      <sz val="10"/>
      <name val="宋体"/>
      <family val="3"/>
      <charset val="134"/>
    </font>
    <font>
      <sz val="8"/>
      <name val="宋体"/>
      <family val="3"/>
      <charset val="134"/>
    </font>
    <font>
      <sz val="11"/>
      <color rgb="FF404040"/>
      <name val="宋体"/>
      <family val="3"/>
      <charset val="134"/>
    </font>
    <font>
      <sz val="9"/>
      <color rgb="FF404040"/>
      <name val="宋体"/>
      <family val="3"/>
      <charset val="134"/>
    </font>
    <font>
      <sz val="9"/>
      <color rgb="FF262626"/>
      <name val="宋体"/>
      <family val="3"/>
      <charset val="134"/>
    </font>
    <font>
      <sz val="11"/>
      <color rgb="FFA6A6A6"/>
      <name val="宋体"/>
      <family val="3"/>
      <charset val="134"/>
    </font>
    <font>
      <sz val="11"/>
      <color rgb="FF000000"/>
      <name val="微软雅黑"/>
      <family val="2"/>
      <charset val="134"/>
    </font>
    <font>
      <sz val="9"/>
      <name val="宋体"/>
      <family val="3"/>
      <charset val="134"/>
    </font>
    <font>
      <sz val="11"/>
      <name val="宋体"/>
      <family val="3"/>
      <charset val="134"/>
    </font>
    <font>
      <sz val="12"/>
      <name val="幼圆"/>
      <family val="3"/>
      <charset val="134"/>
    </font>
    <font>
      <sz val="11"/>
      <name val="幼圆"/>
      <family val="3"/>
      <charset val="134"/>
    </font>
    <font>
      <sz val="11"/>
      <name val="Calibri"/>
      <family val="2"/>
    </font>
    <font>
      <sz val="11"/>
      <name val="Times New Roman"/>
      <family val="1"/>
    </font>
    <font>
      <sz val="12"/>
      <color rgb="FFC71D31"/>
      <name val="幼圆"/>
      <family val="3"/>
      <charset val="134"/>
    </font>
    <font>
      <b/>
      <sz val="11"/>
      <name val="黑体"/>
      <family val="3"/>
      <charset val="134"/>
    </font>
    <font>
      <b/>
      <sz val="11"/>
      <color rgb="FF92D050"/>
      <name val="黑体"/>
      <family val="3"/>
      <charset val="134"/>
    </font>
    <font>
      <sz val="11"/>
      <color rgb="FF00B0F0"/>
      <name val="黑体"/>
      <family val="3"/>
      <charset val="134"/>
    </font>
    <font>
      <sz val="11"/>
      <color rgb="FFFF0000"/>
      <name val="宋体"/>
      <family val="3"/>
      <charset val="134"/>
    </font>
    <font>
      <sz val="11"/>
      <color rgb="FF000000"/>
      <name val="宋体"/>
      <family val="3"/>
      <charset val="134"/>
      <scheme val="minor"/>
    </font>
    <font>
      <sz val="9"/>
      <name val="宋体"/>
      <family val="3"/>
      <charset val="134"/>
      <scheme val="minor"/>
    </font>
    <font>
      <sz val="48"/>
      <name val="宋体"/>
      <family val="3"/>
      <charset val="134"/>
    </font>
    <font>
      <sz val="11"/>
      <name val="宋体"/>
      <family val="3"/>
      <charset val="134"/>
      <scheme val="minor"/>
    </font>
    <font>
      <sz val="11"/>
      <color rgb="FFFFFFFF"/>
      <name val="宋体"/>
      <family val="3"/>
      <charset val="134"/>
      <scheme val="minor"/>
    </font>
    <font>
      <b/>
      <sz val="11"/>
      <color rgb="FF000000"/>
      <name val="宋体"/>
      <family val="3"/>
      <charset val="134"/>
      <scheme val="minor"/>
    </font>
    <font>
      <b/>
      <sz val="11"/>
      <color rgb="FF000000"/>
      <name val="宋体"/>
      <family val="3"/>
      <charset val="134"/>
    </font>
    <font>
      <sz val="11"/>
      <color theme="1"/>
      <name val="宋体"/>
      <family val="3"/>
      <charset val="134"/>
    </font>
    <font>
      <sz val="11"/>
      <color theme="0"/>
      <name val="宋体"/>
      <family val="3"/>
      <charset val="134"/>
      <scheme val="minor"/>
    </font>
    <font>
      <sz val="11"/>
      <color rgb="FFFF0000"/>
      <name val="宋体"/>
      <family val="3"/>
      <charset val="134"/>
      <scheme val="minor"/>
    </font>
    <font>
      <sz val="9"/>
      <color theme="0"/>
      <name val="宋体"/>
      <family val="3"/>
      <charset val="134"/>
    </font>
  </fonts>
  <fills count="30">
    <fill>
      <patternFill patternType="none"/>
    </fill>
    <fill>
      <patternFill patternType="gray125"/>
    </fill>
    <fill>
      <patternFill patternType="solid">
        <fgColor rgb="FFC91D32"/>
        <bgColor indexed="64"/>
      </patternFill>
    </fill>
    <fill>
      <patternFill patternType="solid">
        <fgColor rgb="FFD9D9D9"/>
        <bgColor indexed="64"/>
      </patternFill>
    </fill>
    <fill>
      <patternFill patternType="solid">
        <fgColor rgb="FF808080"/>
        <bgColor indexed="64"/>
      </patternFill>
    </fill>
    <fill>
      <patternFill patternType="solid">
        <fgColor rgb="FF595959"/>
        <bgColor indexed="64"/>
      </patternFill>
    </fill>
    <fill>
      <patternFill patternType="solid">
        <fgColor rgb="FFFFFF00"/>
        <bgColor indexed="64"/>
      </patternFill>
    </fill>
    <fill>
      <patternFill patternType="solid">
        <fgColor rgb="FFE7E6E6"/>
        <bgColor indexed="64"/>
      </patternFill>
    </fill>
    <fill>
      <patternFill patternType="solid">
        <fgColor rgb="FFFF0000"/>
        <bgColor indexed="64"/>
      </patternFill>
    </fill>
    <fill>
      <patternFill patternType="solid">
        <fgColor rgb="FFFFFFFF"/>
        <bgColor indexed="64"/>
      </patternFill>
    </fill>
    <fill>
      <patternFill patternType="gray0625">
        <bgColor rgb="FFFF0000"/>
      </patternFill>
    </fill>
    <fill>
      <patternFill patternType="solid">
        <fgColor theme="4" tint="-0.249977111117893"/>
        <bgColor indexed="64"/>
      </patternFill>
    </fill>
    <fill>
      <patternFill patternType="solid">
        <fgColor theme="4"/>
        <bgColor indexed="64"/>
      </patternFill>
    </fill>
    <fill>
      <patternFill patternType="solid">
        <fgColor theme="4" tint="0.59999389629810485"/>
        <bgColor indexed="64"/>
      </patternFill>
    </fill>
    <fill>
      <patternFill patternType="solid">
        <fgColor rgb="FF17605A"/>
        <bgColor indexed="64"/>
      </patternFill>
    </fill>
    <fill>
      <patternFill patternType="solid">
        <fgColor rgb="FF248E87"/>
        <bgColor indexed="64"/>
      </patternFill>
    </fill>
    <fill>
      <patternFill patternType="solid">
        <fgColor rgb="FF7CDED7"/>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6"/>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rgb="FFF2F2F2"/>
        <bgColor indexed="64"/>
      </patternFill>
    </fill>
    <fill>
      <patternFill patternType="solid">
        <fgColor rgb="FFFADADE"/>
        <bgColor indexed="64"/>
      </patternFill>
    </fill>
    <fill>
      <patternFill patternType="solid">
        <fgColor rgb="FFA6A6A6"/>
        <bgColor indexed="64"/>
      </patternFill>
    </fill>
    <fill>
      <patternFill patternType="solid">
        <fgColor rgb="FFFEDB61"/>
        <bgColor indexed="64"/>
      </patternFill>
    </fill>
    <fill>
      <patternFill patternType="solid">
        <fgColor theme="1" tint="0.34998626667073579"/>
        <bgColor indexed="64"/>
      </patternFill>
    </fill>
    <fill>
      <patternFill patternType="solid">
        <fgColor theme="0" tint="-0.14999847407452621"/>
        <bgColor indexed="64"/>
      </patternFill>
    </fill>
    <fill>
      <patternFill patternType="solid">
        <fgColor theme="0" tint="-0.14993743705557422"/>
        <bgColor indexed="64"/>
      </patternFill>
    </fill>
    <fill>
      <patternFill patternType="solid">
        <fgColor theme="0"/>
        <bgColor indexed="64"/>
      </patternFill>
    </fill>
  </fills>
  <borders count="70">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rgb="FF000000"/>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FFFFFF"/>
      </left>
      <right/>
      <top/>
      <bottom/>
      <diagonal/>
    </border>
    <border>
      <left style="thin">
        <color rgb="FFFFFFFF"/>
      </left>
      <right/>
      <top/>
      <bottom style="thin">
        <color rgb="FFFFFFFF"/>
      </bottom>
      <diagonal/>
    </border>
    <border>
      <left style="thin">
        <color rgb="FF808080"/>
      </left>
      <right style="thin">
        <color rgb="FF808080"/>
      </right>
      <top style="thin">
        <color rgb="FF808080"/>
      </top>
      <bottom style="thin">
        <color rgb="FF808080"/>
      </bottom>
      <diagonal/>
    </border>
    <border>
      <left style="thin">
        <color rgb="FFFFFFFF"/>
      </left>
      <right/>
      <top style="thin">
        <color rgb="FFFFFFFF"/>
      </top>
      <bottom style="thin">
        <color rgb="FFFFFFFF"/>
      </bottom>
      <diagonal/>
    </border>
    <border>
      <left style="thin">
        <color rgb="FFFFFFFF"/>
      </left>
      <right/>
      <top style="thin">
        <color rgb="FFFFFFFF"/>
      </top>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diagonal/>
    </border>
    <border>
      <left/>
      <right/>
      <top style="double">
        <color auto="1"/>
      </top>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rgb="FFFFFFFF"/>
      </left>
      <right style="thin">
        <color rgb="FFFFFFFF"/>
      </right>
      <top/>
      <bottom style="thin">
        <color rgb="FFFFFFFF"/>
      </bottom>
      <diagonal/>
    </border>
    <border>
      <left/>
      <right style="thin">
        <color rgb="FF808080"/>
      </right>
      <top style="thin">
        <color rgb="FF808080"/>
      </top>
      <bottom style="thin">
        <color rgb="FF80808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left>
      <right style="thin">
        <color theme="0" tint="-0.34998626667073579"/>
      </right>
      <top style="thin">
        <color theme="0"/>
      </top>
      <bottom style="thin">
        <color theme="0" tint="-0.34998626667073579"/>
      </bottom>
      <diagonal/>
    </border>
    <border>
      <left style="thin">
        <color theme="0" tint="-0.34998626667073579"/>
      </left>
      <right style="thin">
        <color theme="0" tint="-0.34998626667073579"/>
      </right>
      <top style="thin">
        <color theme="0"/>
      </top>
      <bottom style="thin">
        <color theme="0" tint="-0.34998626667073579"/>
      </bottom>
      <diagonal/>
    </border>
    <border>
      <left style="thin">
        <color theme="0" tint="-0.34998626667073579"/>
      </left>
      <right style="thin">
        <color theme="0"/>
      </right>
      <top style="thin">
        <color theme="0"/>
      </top>
      <bottom style="thin">
        <color theme="0" tint="-0.34998626667073579"/>
      </bottom>
      <diagonal/>
    </border>
    <border>
      <left style="thin">
        <color theme="0"/>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right>
      <top style="thin">
        <color theme="0" tint="-0.34998626667073579"/>
      </top>
      <bottom style="thin">
        <color theme="0" tint="-0.34998626667073579"/>
      </bottom>
      <diagonal/>
    </border>
    <border>
      <left style="thin">
        <color theme="0"/>
      </left>
      <right style="thin">
        <color theme="0" tint="-0.34998626667073579"/>
      </right>
      <top style="thin">
        <color theme="0" tint="-0.34998626667073579"/>
      </top>
      <bottom style="thin">
        <color theme="0"/>
      </bottom>
      <diagonal/>
    </border>
    <border>
      <left style="thin">
        <color theme="0" tint="-0.34998626667073579"/>
      </left>
      <right style="thin">
        <color theme="0" tint="-0.34998626667073579"/>
      </right>
      <top style="thin">
        <color theme="0" tint="-0.34998626667073579"/>
      </top>
      <bottom style="thin">
        <color theme="0"/>
      </bottom>
      <diagonal/>
    </border>
    <border>
      <left style="thin">
        <color theme="0" tint="-0.34998626667073579"/>
      </left>
      <right style="thin">
        <color theme="0"/>
      </right>
      <top style="thin">
        <color theme="0" tint="-0.34998626667073579"/>
      </top>
      <bottom style="thin">
        <color theme="0"/>
      </bottom>
      <diagonal/>
    </border>
    <border>
      <left style="thin">
        <color theme="0" tint="-0.34998626667073579"/>
      </left>
      <right/>
      <top style="thin">
        <color theme="0" tint="-0.34998626667073579"/>
      </top>
      <bottom style="thin">
        <color theme="0" tint="-0.34998626667073579"/>
      </bottom>
      <diagonal/>
    </border>
    <border>
      <left style="medium">
        <color rgb="FF000000"/>
      </left>
      <right style="medium">
        <color rgb="FF000000"/>
      </right>
      <top/>
      <bottom style="medium">
        <color auto="1"/>
      </bottom>
      <diagonal/>
    </border>
  </borders>
  <cellStyleXfs count="1">
    <xf numFmtId="0" fontId="0" fillId="0" borderId="0">
      <alignment vertical="center"/>
    </xf>
  </cellStyleXfs>
  <cellXfs count="445">
    <xf numFmtId="0" fontId="0" fillId="0" borderId="0" xfId="0">
      <alignment vertical="center"/>
    </xf>
    <xf numFmtId="49" fontId="1" fillId="0" borderId="1" xfId="0" applyNumberFormat="1" applyFont="1" applyFill="1" applyBorder="1" applyAlignment="1">
      <alignment horizontal="center" vertical="center"/>
    </xf>
    <xf numFmtId="0" fontId="14" fillId="0" borderId="0" xfId="0" applyFont="1" applyFill="1">
      <alignment vertical="center"/>
    </xf>
    <xf numFmtId="0" fontId="14" fillId="4" borderId="0" xfId="0" applyFont="1" applyFill="1">
      <alignment vertical="center"/>
    </xf>
    <xf numFmtId="0" fontId="19" fillId="12" borderId="0" xfId="0" applyFont="1" applyFill="1" applyAlignment="1">
      <alignment horizontal="center" vertical="center"/>
    </xf>
    <xf numFmtId="0" fontId="2" fillId="14" borderId="0" xfId="0" applyFont="1" applyFill="1" applyAlignment="1">
      <alignment horizontal="center" vertical="center"/>
    </xf>
    <xf numFmtId="0" fontId="2" fillId="15" borderId="0" xfId="0" applyFont="1" applyFill="1" applyAlignment="1">
      <alignment horizontal="center" vertical="center"/>
    </xf>
    <xf numFmtId="0" fontId="19" fillId="17" borderId="0" xfId="0" applyFont="1" applyFill="1" applyAlignment="1">
      <alignment horizontal="center" vertical="center"/>
    </xf>
    <xf numFmtId="0" fontId="19" fillId="19" borderId="0" xfId="0" applyFont="1" applyFill="1" applyAlignment="1">
      <alignment horizontal="center" vertical="center"/>
    </xf>
    <xf numFmtId="0" fontId="19" fillId="20" borderId="0" xfId="0" applyFont="1" applyFill="1" applyAlignment="1">
      <alignment horizontal="center" vertical="center"/>
    </xf>
    <xf numFmtId="0" fontId="32" fillId="0" borderId="0" xfId="0" applyFont="1" applyFill="1">
      <alignment vertical="center"/>
    </xf>
    <xf numFmtId="0" fontId="14" fillId="25" borderId="0" xfId="0" applyFont="1" applyFill="1">
      <alignment vertical="center"/>
    </xf>
    <xf numFmtId="0" fontId="14" fillId="6" borderId="0" xfId="0" applyFont="1" applyFill="1">
      <alignment vertical="center"/>
    </xf>
    <xf numFmtId="0" fontId="34" fillId="0" borderId="0" xfId="0" applyFont="1">
      <alignment vertical="center"/>
    </xf>
    <xf numFmtId="0" fontId="0" fillId="3" borderId="0" xfId="0" applyNumberFormat="1" applyFont="1" applyFill="1" applyProtection="1">
      <alignment vertical="center"/>
      <protection locked="0"/>
    </xf>
    <xf numFmtId="0" fontId="0" fillId="3" borderId="0" xfId="0" applyNumberFormat="1" applyFont="1" applyFill="1" applyAlignment="1" applyProtection="1">
      <alignment horizontal="center" vertical="center"/>
      <protection locked="0"/>
    </xf>
    <xf numFmtId="0" fontId="0" fillId="4" borderId="0" xfId="0" applyNumberFormat="1" applyFont="1" applyFill="1" applyProtection="1">
      <alignment vertical="center"/>
      <protection locked="0"/>
    </xf>
    <xf numFmtId="0" fontId="0" fillId="0" borderId="0" xfId="0" applyNumberFormat="1" applyFont="1" applyFill="1" applyProtection="1">
      <alignment vertical="center"/>
      <protection locked="0"/>
    </xf>
    <xf numFmtId="0" fontId="15" fillId="2" borderId="0" xfId="0" applyNumberFormat="1" applyFont="1" applyFill="1" applyBorder="1" applyProtection="1">
      <alignment vertical="center"/>
      <protection locked="0"/>
    </xf>
    <xf numFmtId="0" fontId="15" fillId="3" borderId="0" xfId="0" applyNumberFormat="1" applyFont="1" applyFill="1" applyProtection="1">
      <alignment vertical="center"/>
      <protection locked="0"/>
    </xf>
    <xf numFmtId="0" fontId="0" fillId="3" borderId="0" xfId="0" applyNumberFormat="1" applyFont="1" applyFill="1" applyBorder="1" applyProtection="1">
      <alignment vertical="center"/>
      <protection locked="0"/>
    </xf>
    <xf numFmtId="0" fontId="0" fillId="4" borderId="0" xfId="0" applyNumberFormat="1" applyFont="1" applyFill="1" applyBorder="1" applyProtection="1">
      <alignment vertical="center"/>
      <protection locked="0"/>
    </xf>
    <xf numFmtId="0" fontId="0" fillId="4" borderId="0" xfId="0" applyNumberFormat="1" applyFont="1" applyFill="1" applyBorder="1" applyAlignment="1" applyProtection="1">
      <alignment horizontal="center" vertical="center"/>
      <protection locked="0"/>
    </xf>
    <xf numFmtId="0" fontId="15" fillId="4" borderId="0" xfId="0" applyNumberFormat="1" applyFont="1" applyFill="1" applyBorder="1" applyProtection="1">
      <alignment vertical="center"/>
      <protection locked="0"/>
    </xf>
    <xf numFmtId="0" fontId="27" fillId="4" borderId="0" xfId="0" applyNumberFormat="1" applyFont="1" applyFill="1" applyBorder="1" applyProtection="1">
      <alignment vertical="center"/>
      <protection locked="0"/>
    </xf>
    <xf numFmtId="0" fontId="27" fillId="3" borderId="0" xfId="0" applyNumberFormat="1" applyFont="1" applyFill="1" applyBorder="1" applyProtection="1">
      <alignment vertical="center"/>
      <protection locked="0"/>
    </xf>
    <xf numFmtId="0" fontId="0" fillId="3" borderId="0" xfId="0" applyNumberFormat="1" applyFont="1" applyFill="1" applyBorder="1" applyAlignment="1" applyProtection="1">
      <alignment horizontal="center" vertical="center"/>
      <protection locked="0"/>
    </xf>
    <xf numFmtId="0" fontId="29" fillId="3" borderId="0" xfId="0" applyNumberFormat="1" applyFont="1" applyFill="1" applyBorder="1" applyProtection="1">
      <alignment vertical="center"/>
      <protection locked="0"/>
    </xf>
    <xf numFmtId="0" fontId="0" fillId="4" borderId="0" xfId="0" applyNumberFormat="1" applyFont="1" applyFill="1" applyAlignment="1" applyProtection="1">
      <alignment horizontal="center" vertical="center"/>
      <protection locked="0"/>
    </xf>
    <xf numFmtId="0" fontId="24" fillId="24" borderId="1" xfId="0" applyNumberFormat="1" applyFont="1" applyFill="1" applyBorder="1" applyAlignment="1" applyProtection="1">
      <alignment horizontal="center" vertical="center"/>
      <protection locked="0"/>
    </xf>
    <xf numFmtId="0" fontId="15" fillId="4" borderId="17" xfId="0" applyNumberFormat="1" applyFont="1" applyFill="1" applyBorder="1" applyAlignment="1" applyProtection="1">
      <alignment horizontal="center" vertical="center"/>
      <protection locked="0"/>
    </xf>
    <xf numFmtId="0" fontId="0" fillId="0" borderId="17" xfId="0" applyNumberFormat="1" applyFont="1" applyFill="1" applyBorder="1" applyAlignment="1" applyProtection="1">
      <alignment horizontal="center" vertical="center"/>
      <protection locked="0"/>
    </xf>
    <xf numFmtId="0" fontId="0" fillId="0" borderId="0" xfId="0" applyNumberFormat="1" applyFont="1" applyFill="1" applyAlignment="1" applyProtection="1">
      <alignment horizontal="center" vertical="center"/>
      <protection locked="0"/>
    </xf>
    <xf numFmtId="0" fontId="26" fillId="3" borderId="17" xfId="0" applyNumberFormat="1" applyFont="1" applyFill="1" applyBorder="1" applyAlignment="1" applyProtection="1">
      <alignment horizontal="center" vertical="center"/>
    </xf>
    <xf numFmtId="0" fontId="0" fillId="0" borderId="0" xfId="0" applyAlignment="1" applyProtection="1">
      <alignment horizontal="center" vertical="center"/>
      <protection locked="0"/>
    </xf>
    <xf numFmtId="0" fontId="14" fillId="0" borderId="0" xfId="0" applyFont="1" applyFill="1" applyAlignment="1" applyProtection="1">
      <alignment horizontal="center" vertical="center"/>
      <protection locked="0"/>
    </xf>
    <xf numFmtId="0" fontId="14" fillId="2" borderId="0" xfId="0" applyFont="1" applyFill="1" applyAlignment="1" applyProtection="1">
      <alignment horizontal="center" vertical="center"/>
      <protection locked="0"/>
    </xf>
    <xf numFmtId="0" fontId="0" fillId="4" borderId="0" xfId="0" applyFont="1" applyFill="1" applyBorder="1" applyAlignment="1" applyProtection="1">
      <alignment horizontal="center" vertical="center"/>
      <protection locked="0"/>
    </xf>
    <xf numFmtId="0" fontId="14" fillId="4" borderId="0" xfId="0" applyFont="1" applyFill="1" applyBorder="1" applyAlignment="1" applyProtection="1">
      <alignment horizontal="center" vertical="center"/>
      <protection locked="0"/>
    </xf>
    <xf numFmtId="0" fontId="0" fillId="0" borderId="0" xfId="0" applyFont="1" applyFill="1" applyAlignment="1" applyProtection="1">
      <alignment horizontal="center" vertical="center"/>
      <protection locked="0"/>
    </xf>
    <xf numFmtId="0" fontId="14" fillId="0" borderId="0" xfId="0" applyFont="1" applyFill="1" applyBorder="1" applyAlignment="1" applyProtection="1">
      <alignment horizontal="center" vertical="center"/>
      <protection locked="0"/>
    </xf>
    <xf numFmtId="0" fontId="14" fillId="0" borderId="0" xfId="0" applyFont="1" applyAlignment="1" applyProtection="1">
      <alignment horizontal="center" vertical="center"/>
      <protection locked="0"/>
    </xf>
    <xf numFmtId="0" fontId="0" fillId="4" borderId="0" xfId="0" applyFont="1" applyFill="1" applyBorder="1" applyAlignment="1" applyProtection="1">
      <alignment horizontal="center" vertical="center" wrapText="1"/>
      <protection locked="0"/>
    </xf>
    <xf numFmtId="0" fontId="0" fillId="0" borderId="0" xfId="0" applyFont="1" applyFill="1" applyBorder="1" applyAlignment="1" applyProtection="1">
      <alignment horizontal="center" vertical="center"/>
      <protection locked="0"/>
    </xf>
    <xf numFmtId="0" fontId="0" fillId="0" borderId="0" xfId="0" applyFont="1" applyFill="1" applyBorder="1" applyAlignment="1" applyProtection="1">
      <alignment horizontal="center" vertical="center" wrapText="1"/>
      <protection locked="0"/>
    </xf>
    <xf numFmtId="0" fontId="15" fillId="4" borderId="0" xfId="0" applyFont="1" applyFill="1" applyBorder="1" applyAlignment="1" applyProtection="1">
      <alignment horizontal="center" vertical="center"/>
      <protection locked="0"/>
    </xf>
    <xf numFmtId="0" fontId="15" fillId="0" borderId="0" xfId="0" applyFont="1" applyFill="1" applyBorder="1" applyAlignment="1" applyProtection="1">
      <alignment horizontal="center" vertical="center"/>
      <protection locked="0"/>
    </xf>
    <xf numFmtId="0" fontId="0" fillId="4" borderId="0" xfId="0" applyFill="1" applyAlignment="1" applyProtection="1">
      <alignment horizontal="center" vertical="center"/>
      <protection locked="0"/>
    </xf>
    <xf numFmtId="0" fontId="0" fillId="3" borderId="1" xfId="0" applyFill="1" applyBorder="1" applyAlignment="1" applyProtection="1">
      <alignment horizontal="center" vertical="center"/>
    </xf>
    <xf numFmtId="0" fontId="0" fillId="4" borderId="0" xfId="0" applyFill="1" applyAlignment="1" applyProtection="1">
      <alignment horizontal="center" vertical="center"/>
    </xf>
    <xf numFmtId="0" fontId="0" fillId="0" borderId="1" xfId="0" applyBorder="1" applyAlignment="1" applyProtection="1">
      <alignment horizontal="center" vertical="center"/>
      <protection locked="0"/>
    </xf>
    <xf numFmtId="0" fontId="15" fillId="8" borderId="0" xfId="0" applyFont="1" applyFill="1" applyAlignment="1" applyProtection="1">
      <alignment horizontal="center" vertical="center"/>
      <protection locked="0"/>
    </xf>
    <xf numFmtId="0" fontId="15" fillId="8" borderId="0" xfId="0" applyFont="1" applyFill="1" applyAlignment="1" applyProtection="1">
      <alignment horizontal="center" vertical="center"/>
    </xf>
    <xf numFmtId="0" fontId="0" fillId="0" borderId="0" xfId="0" applyFill="1" applyAlignment="1" applyProtection="1">
      <alignment horizontal="center" vertical="center"/>
      <protection locked="0"/>
    </xf>
    <xf numFmtId="0" fontId="0" fillId="4" borderId="0" xfId="0" applyFill="1" applyAlignment="1" applyProtection="1">
      <alignment horizontal="left" vertical="center"/>
      <protection locked="0"/>
    </xf>
    <xf numFmtId="0" fontId="0" fillId="0" borderId="1" xfId="0" applyBorder="1" applyAlignment="1" applyProtection="1">
      <alignment horizontal="left" vertical="center"/>
      <protection locked="0"/>
    </xf>
    <xf numFmtId="0" fontId="0" fillId="0" borderId="0" xfId="0" applyAlignment="1" applyProtection="1">
      <alignment horizontal="left" vertical="center"/>
      <protection locked="0"/>
    </xf>
    <xf numFmtId="0" fontId="0" fillId="3" borderId="1" xfId="0" applyFill="1" applyBorder="1" applyAlignment="1" applyProtection="1">
      <alignment horizontal="left" vertical="center"/>
    </xf>
    <xf numFmtId="0" fontId="2" fillId="2" borderId="39" xfId="0" applyFont="1" applyFill="1" applyBorder="1" applyAlignment="1">
      <alignment horizontal="center" vertical="center"/>
    </xf>
    <xf numFmtId="0" fontId="2" fillId="2" borderId="40" xfId="0" applyFont="1" applyFill="1" applyBorder="1" applyAlignment="1">
      <alignment horizontal="center" vertical="center"/>
    </xf>
    <xf numFmtId="0" fontId="3" fillId="0" borderId="40" xfId="0" applyFont="1" applyBorder="1" applyAlignment="1">
      <alignment horizontal="left" vertical="center"/>
    </xf>
    <xf numFmtId="0" fontId="3" fillId="0" borderId="40" xfId="0" applyFont="1" applyBorder="1" applyAlignment="1">
      <alignment horizontal="center" vertical="center"/>
    </xf>
    <xf numFmtId="0" fontId="3" fillId="3" borderId="40" xfId="0" applyFont="1" applyFill="1" applyBorder="1" applyAlignment="1">
      <alignment horizontal="left" vertical="center"/>
    </xf>
    <xf numFmtId="0" fontId="3" fillId="3" borderId="40" xfId="0" applyFont="1" applyFill="1" applyBorder="1" applyAlignment="1">
      <alignment horizontal="center" vertical="center"/>
    </xf>
    <xf numFmtId="0" fontId="3" fillId="0" borderId="40" xfId="0" applyFont="1" applyBorder="1" applyAlignment="1">
      <alignment horizontal="left" vertical="center" wrapText="1"/>
    </xf>
    <xf numFmtId="0" fontId="3" fillId="3" borderId="40" xfId="0" applyFont="1" applyFill="1" applyBorder="1" applyAlignment="1">
      <alignment horizontal="center" vertical="center" wrapText="1"/>
    </xf>
    <xf numFmtId="0" fontId="3" fillId="3" borderId="40" xfId="0" applyFont="1" applyFill="1" applyBorder="1" applyAlignment="1">
      <alignment horizontal="left" vertical="center" wrapText="1"/>
    </xf>
    <xf numFmtId="0" fontId="3" fillId="3" borderId="41" xfId="0" applyFont="1" applyFill="1" applyBorder="1" applyAlignment="1">
      <alignment horizontal="center" vertical="center" wrapText="1"/>
    </xf>
    <xf numFmtId="0" fontId="0" fillId="0" borderId="0" xfId="0" applyAlignment="1">
      <alignment horizontal="center" vertical="center"/>
    </xf>
    <xf numFmtId="0" fontId="34" fillId="0" borderId="0" xfId="0" applyFont="1" applyFill="1" applyAlignment="1">
      <alignment horizontal="center" vertical="center"/>
    </xf>
    <xf numFmtId="0" fontId="36" fillId="0" borderId="44" xfId="0" applyFont="1" applyBorder="1" applyAlignment="1">
      <alignment horizontal="justify" vertical="center" wrapText="1"/>
    </xf>
    <xf numFmtId="0" fontId="37" fillId="0" borderId="0" xfId="0" applyFont="1" applyAlignment="1">
      <alignment horizontal="justify" vertical="center" wrapText="1"/>
    </xf>
    <xf numFmtId="0" fontId="38" fillId="0" borderId="0" xfId="0" applyFont="1" applyAlignment="1">
      <alignment vertical="center" wrapText="1"/>
    </xf>
    <xf numFmtId="0" fontId="36" fillId="0" borderId="43" xfId="0" applyFont="1" applyBorder="1" applyAlignment="1">
      <alignment horizontal="center" vertical="center" wrapText="1"/>
    </xf>
    <xf numFmtId="0" fontId="4" fillId="0" borderId="0" xfId="0" applyFont="1" applyFill="1" applyAlignment="1">
      <alignment horizontal="center" vertical="center"/>
    </xf>
    <xf numFmtId="0" fontId="12" fillId="6" borderId="1" xfId="0" applyFont="1" applyFill="1" applyBorder="1" applyAlignment="1">
      <alignment horizontal="center" vertical="center"/>
    </xf>
    <xf numFmtId="0" fontId="12"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19" fillId="11" borderId="0" xfId="0" applyFont="1" applyFill="1" applyAlignment="1">
      <alignment horizontal="center" vertical="center"/>
    </xf>
    <xf numFmtId="0" fontId="3" fillId="16" borderId="1" xfId="0" applyFont="1" applyFill="1" applyBorder="1" applyAlignment="1">
      <alignment horizontal="center" vertical="center" wrapText="1"/>
    </xf>
    <xf numFmtId="0" fontId="19" fillId="8" borderId="0" xfId="0" applyFont="1" applyFill="1" applyAlignment="1">
      <alignment horizontal="center" vertical="center"/>
    </xf>
    <xf numFmtId="0" fontId="0" fillId="0" borderId="0" xfId="0" applyFill="1" applyAlignment="1">
      <alignment horizontal="center" vertical="center"/>
    </xf>
    <xf numFmtId="0" fontId="18" fillId="0" borderId="0" xfId="0" applyFont="1" applyFill="1" applyAlignment="1">
      <alignment horizontal="center" vertical="center"/>
    </xf>
    <xf numFmtId="0" fontId="43" fillId="0" borderId="0" xfId="0" applyFont="1" applyAlignment="1">
      <alignment horizontal="center" vertical="center"/>
    </xf>
    <xf numFmtId="0" fontId="18" fillId="0" borderId="0" xfId="0" applyFont="1" applyAlignment="1">
      <alignment horizontal="center" vertical="center"/>
    </xf>
    <xf numFmtId="0" fontId="20" fillId="13" borderId="1" xfId="0" applyFont="1" applyFill="1" applyBorder="1" applyAlignment="1">
      <alignment horizontal="center" vertical="center" wrapText="1"/>
    </xf>
    <xf numFmtId="0" fontId="20" fillId="18"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0" fontId="24" fillId="9" borderId="1" xfId="0" applyNumberFormat="1" applyFont="1" applyFill="1" applyBorder="1" applyAlignment="1" applyProtection="1">
      <alignment horizontal="center" vertical="center"/>
      <protection locked="0"/>
    </xf>
    <xf numFmtId="0" fontId="0" fillId="0" borderId="0" xfId="0" applyAlignment="1">
      <alignment horizontal="center" vertical="center"/>
    </xf>
    <xf numFmtId="0" fontId="14" fillId="0" borderId="0" xfId="0" applyFont="1" applyFill="1" applyAlignment="1">
      <alignment horizontal="center" vertical="center"/>
    </xf>
    <xf numFmtId="0" fontId="17" fillId="0" borderId="0" xfId="0" applyFont="1" applyFill="1" applyAlignment="1" applyProtection="1">
      <alignment horizontal="center" vertical="center"/>
      <protection locked="0"/>
    </xf>
    <xf numFmtId="0" fontId="15" fillId="2" borderId="0" xfId="0" applyFont="1" applyFill="1" applyAlignment="1" applyProtection="1">
      <alignment horizontal="center" vertical="center"/>
      <protection locked="0"/>
    </xf>
    <xf numFmtId="0" fontId="15" fillId="5" borderId="0" xfId="0" applyFont="1" applyFill="1" applyAlignment="1" applyProtection="1">
      <alignment horizontal="center" vertical="center"/>
      <protection locked="0"/>
    </xf>
    <xf numFmtId="0" fontId="14" fillId="4" borderId="0" xfId="0" applyFont="1" applyFill="1" applyAlignment="1" applyProtection="1">
      <alignment horizontal="center" vertical="center"/>
      <protection locked="0"/>
    </xf>
    <xf numFmtId="0" fontId="15" fillId="2" borderId="0" xfId="0" applyFont="1" applyFill="1" applyAlignment="1">
      <alignment horizontal="center" vertical="center"/>
    </xf>
    <xf numFmtId="0" fontId="15" fillId="5" borderId="21" xfId="0" applyFont="1" applyFill="1" applyBorder="1" applyAlignment="1">
      <alignment horizontal="center" vertical="center"/>
    </xf>
    <xf numFmtId="0" fontId="15" fillId="5" borderId="20" xfId="0" applyFont="1" applyFill="1" applyBorder="1" applyAlignment="1">
      <alignment horizontal="center" vertical="center"/>
    </xf>
    <xf numFmtId="0" fontId="14" fillId="0" borderId="23" xfId="0" applyFont="1" applyFill="1" applyBorder="1" applyAlignment="1">
      <alignment horizontal="center" vertical="center"/>
    </xf>
    <xf numFmtId="0" fontId="14" fillId="0" borderId="0" xfId="0" applyFont="1" applyFill="1" applyBorder="1" applyAlignment="1">
      <alignment horizontal="center" vertical="center"/>
    </xf>
    <xf numFmtId="0" fontId="14" fillId="4" borderId="0" xfId="0" applyFont="1" applyFill="1" applyAlignment="1">
      <alignment horizontal="center" vertical="center"/>
    </xf>
    <xf numFmtId="0" fontId="44" fillId="6" borderId="1" xfId="0" applyFont="1" applyFill="1" applyBorder="1" applyAlignment="1">
      <alignment horizontal="center" vertical="center"/>
    </xf>
    <xf numFmtId="0" fontId="14" fillId="4" borderId="0" xfId="0" applyFont="1" applyFill="1" applyBorder="1" applyAlignment="1">
      <alignment horizontal="center" vertical="center"/>
    </xf>
    <xf numFmtId="0" fontId="14" fillId="2" borderId="0" xfId="0" applyFont="1" applyFill="1" applyAlignment="1">
      <alignment horizontal="center" vertical="center"/>
    </xf>
    <xf numFmtId="0" fontId="15" fillId="4" borderId="0" xfId="0" applyFont="1" applyFill="1" applyBorder="1" applyAlignment="1">
      <alignment horizontal="center" vertical="center"/>
    </xf>
    <xf numFmtId="0" fontId="15" fillId="0" borderId="0" xfId="0" applyFont="1" applyFill="1" applyBorder="1" applyAlignment="1">
      <alignment horizontal="center" vertical="center"/>
    </xf>
    <xf numFmtId="0" fontId="15" fillId="4" borderId="22" xfId="0" applyFont="1" applyFill="1" applyBorder="1" applyAlignment="1">
      <alignment horizontal="center" vertical="center"/>
    </xf>
    <xf numFmtId="0" fontId="15" fillId="4" borderId="24" xfId="0" applyFont="1" applyFill="1" applyBorder="1" applyAlignment="1">
      <alignment horizontal="center" vertical="center"/>
    </xf>
    <xf numFmtId="0" fontId="15" fillId="4" borderId="25" xfId="0" applyFont="1" applyFill="1" applyBorder="1" applyAlignment="1">
      <alignment horizontal="center" vertical="center"/>
    </xf>
    <xf numFmtId="0" fontId="14" fillId="0" borderId="26" xfId="0" applyFont="1" applyFill="1" applyBorder="1" applyAlignment="1">
      <alignment horizontal="center" vertical="center"/>
    </xf>
    <xf numFmtId="0" fontId="14" fillId="0" borderId="27" xfId="0" applyFont="1" applyFill="1" applyBorder="1" applyAlignment="1">
      <alignment horizontal="center" vertical="center"/>
    </xf>
    <xf numFmtId="0" fontId="18" fillId="2" borderId="0" xfId="0" applyFont="1" applyFill="1" applyAlignment="1">
      <alignment horizontal="center" vertical="center"/>
    </xf>
    <xf numFmtId="49" fontId="14" fillId="0" borderId="0" xfId="0" applyNumberFormat="1" applyFont="1" applyFill="1" applyAlignment="1" applyProtection="1">
      <alignment horizontal="center" vertical="center" wrapText="1"/>
      <protection locked="0"/>
    </xf>
    <xf numFmtId="0" fontId="14" fillId="0" borderId="0" xfId="0" applyFont="1" applyFill="1" applyAlignment="1" applyProtection="1">
      <alignment horizontal="center" vertical="center" wrapText="1"/>
      <protection locked="0"/>
    </xf>
    <xf numFmtId="14" fontId="14" fillId="0" borderId="0" xfId="0" applyNumberFormat="1" applyFont="1" applyFill="1" applyAlignment="1" applyProtection="1">
      <alignment horizontal="center" vertical="center" wrapText="1"/>
      <protection locked="0"/>
    </xf>
    <xf numFmtId="0" fontId="15" fillId="5" borderId="0" xfId="0" applyFont="1" applyFill="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0" fontId="0" fillId="27" borderId="50" xfId="0" applyFill="1" applyBorder="1" applyAlignment="1">
      <alignment horizontal="center" vertical="center"/>
    </xf>
    <xf numFmtId="0" fontId="0" fillId="0" borderId="50" xfId="0" applyBorder="1" applyAlignment="1">
      <alignment horizontal="center" vertical="center"/>
    </xf>
    <xf numFmtId="0" fontId="34" fillId="27" borderId="50" xfId="0" applyFont="1" applyFill="1" applyBorder="1" applyAlignment="1">
      <alignment horizontal="center" vertical="center"/>
    </xf>
    <xf numFmtId="0" fontId="43" fillId="0" borderId="0" xfId="0" applyFont="1" applyAlignment="1">
      <alignment horizontal="left" vertical="center"/>
    </xf>
    <xf numFmtId="0" fontId="18" fillId="4" borderId="0" xfId="0" applyFont="1" applyFill="1" applyAlignment="1">
      <alignment horizontal="center" vertical="center"/>
    </xf>
    <xf numFmtId="0" fontId="15" fillId="2" borderId="0" xfId="0" applyNumberFormat="1" applyFont="1" applyFill="1" applyAlignment="1" applyProtection="1">
      <alignment horizontal="center" vertical="center"/>
      <protection locked="0"/>
    </xf>
    <xf numFmtId="0" fontId="0" fillId="4" borderId="0" xfId="0" applyNumberFormat="1" applyFont="1" applyFill="1" applyAlignment="1" applyProtection="1">
      <alignment horizontal="center" vertical="center"/>
      <protection locked="0"/>
    </xf>
    <xf numFmtId="0" fontId="0" fillId="4" borderId="0" xfId="0" applyNumberFormat="1" applyFont="1" applyFill="1" applyProtection="1">
      <alignment vertical="center"/>
      <protection locked="0"/>
    </xf>
    <xf numFmtId="0" fontId="0" fillId="0" borderId="0" xfId="0" applyNumberFormat="1" applyFont="1" applyFill="1" applyAlignment="1" applyProtection="1">
      <alignment horizontal="center" vertical="center"/>
      <protection locked="0"/>
    </xf>
    <xf numFmtId="0" fontId="0" fillId="3" borderId="0" xfId="0" applyNumberFormat="1" applyFont="1" applyFill="1" applyAlignment="1" applyProtection="1">
      <alignment horizontal="center" vertical="center"/>
      <protection locked="0"/>
    </xf>
    <xf numFmtId="0" fontId="14" fillId="3" borderId="35" xfId="0" applyFont="1" applyFill="1" applyBorder="1" applyAlignment="1" applyProtection="1">
      <alignment horizontal="center" vertical="center" wrapText="1"/>
    </xf>
    <xf numFmtId="0" fontId="17" fillId="0" borderId="0" xfId="0" applyFont="1" applyFill="1" applyAlignment="1" applyProtection="1">
      <alignment horizontal="center" vertical="center"/>
      <protection locked="0"/>
    </xf>
    <xf numFmtId="0" fontId="15" fillId="2" borderId="0" xfId="0" applyFont="1" applyFill="1" applyAlignment="1" applyProtection="1">
      <alignment horizontal="center" vertical="center"/>
      <protection locked="0"/>
    </xf>
    <xf numFmtId="0" fontId="15" fillId="5" borderId="17" xfId="0" applyFont="1" applyFill="1" applyBorder="1" applyAlignment="1" applyProtection="1">
      <alignment horizontal="center" vertical="center"/>
      <protection locked="0"/>
    </xf>
    <xf numFmtId="0" fontId="14" fillId="0" borderId="35" xfId="0" applyFont="1" applyFill="1" applyBorder="1" applyAlignment="1" applyProtection="1">
      <alignment horizontal="center" vertical="center"/>
      <protection locked="0"/>
    </xf>
    <xf numFmtId="0" fontId="14" fillId="0" borderId="23" xfId="0" applyFont="1" applyFill="1" applyBorder="1" applyAlignment="1" applyProtection="1">
      <alignment horizontal="center" vertical="center"/>
      <protection locked="0"/>
    </xf>
    <xf numFmtId="0" fontId="14" fillId="0" borderId="1" xfId="0" applyFont="1" applyFill="1" applyBorder="1" applyAlignment="1" applyProtection="1">
      <alignment horizontal="center" vertical="center" wrapText="1"/>
      <protection locked="0"/>
    </xf>
    <xf numFmtId="0" fontId="15" fillId="5" borderId="21" xfId="0" applyFont="1" applyFill="1" applyBorder="1" applyAlignment="1" applyProtection="1">
      <alignment horizontal="center" vertical="center"/>
      <protection locked="0"/>
    </xf>
    <xf numFmtId="0" fontId="14" fillId="3" borderId="35" xfId="0" applyFont="1" applyFill="1" applyBorder="1" applyAlignment="1" applyProtection="1">
      <alignment horizontal="center" vertical="center"/>
    </xf>
    <xf numFmtId="0" fontId="14" fillId="0" borderId="27" xfId="0" applyFont="1" applyFill="1" applyBorder="1" applyAlignment="1" applyProtection="1">
      <alignment horizontal="center" vertical="center"/>
      <protection locked="0"/>
    </xf>
    <xf numFmtId="0" fontId="14" fillId="4" borderId="0" xfId="0" applyFont="1" applyFill="1" applyAlignment="1" applyProtection="1">
      <alignment horizontal="center" vertical="center"/>
      <protection locked="0"/>
    </xf>
    <xf numFmtId="0" fontId="15" fillId="2" borderId="0" xfId="0" applyFont="1" applyFill="1" applyAlignment="1">
      <alignment horizontal="center" vertical="center"/>
    </xf>
    <xf numFmtId="0" fontId="0" fillId="4" borderId="0" xfId="0" applyFont="1" applyFill="1" applyAlignment="1" applyProtection="1">
      <alignment horizontal="center" vertical="center"/>
      <protection locked="0"/>
    </xf>
    <xf numFmtId="0" fontId="1" fillId="0" borderId="1" xfId="0" applyFont="1" applyFill="1" applyBorder="1" applyAlignment="1">
      <alignment horizontal="center" vertical="center"/>
    </xf>
    <xf numFmtId="0" fontId="44" fillId="0" borderId="0" xfId="0" applyFont="1" applyFill="1" applyAlignment="1">
      <alignment horizontal="center" vertical="center"/>
    </xf>
    <xf numFmtId="0" fontId="47" fillId="0" borderId="0" xfId="0" applyFont="1" applyFill="1" applyAlignment="1">
      <alignment horizontal="center" vertical="center"/>
    </xf>
    <xf numFmtId="0" fontId="44" fillId="4" borderId="0" xfId="0" applyFont="1" applyFill="1" applyAlignment="1">
      <alignment horizontal="center" vertical="center"/>
    </xf>
    <xf numFmtId="0" fontId="47" fillId="4" borderId="0" xfId="0" applyFont="1" applyFill="1" applyAlignment="1">
      <alignment horizontal="center" vertical="center"/>
    </xf>
    <xf numFmtId="0" fontId="48" fillId="5" borderId="1" xfId="0" applyFont="1" applyFill="1" applyBorder="1" applyAlignment="1">
      <alignment horizontal="center" vertical="center"/>
    </xf>
    <xf numFmtId="0" fontId="44" fillId="0" borderId="1" xfId="0" applyFont="1" applyFill="1" applyBorder="1" applyAlignment="1">
      <alignment horizontal="center" vertical="center"/>
    </xf>
    <xf numFmtId="0" fontId="49" fillId="7" borderId="1" xfId="0" applyFont="1" applyFill="1" applyBorder="1" applyAlignment="1">
      <alignment horizontal="center" vertical="center"/>
    </xf>
    <xf numFmtId="0" fontId="44" fillId="0" borderId="1" xfId="0" applyFont="1" applyFill="1" applyBorder="1" applyAlignment="1">
      <alignment horizontal="center" vertical="center" wrapText="1"/>
    </xf>
    <xf numFmtId="0" fontId="44" fillId="0" borderId="18" xfId="0" applyFont="1" applyFill="1" applyBorder="1" applyAlignment="1">
      <alignment horizontal="center" vertical="center" wrapText="1"/>
    </xf>
    <xf numFmtId="0" fontId="44" fillId="0" borderId="16" xfId="0" applyFont="1" applyFill="1" applyBorder="1" applyAlignment="1">
      <alignment horizontal="center" vertical="center" wrapText="1"/>
    </xf>
    <xf numFmtId="0" fontId="31" fillId="4" borderId="0" xfId="0" applyNumberFormat="1" applyFont="1" applyFill="1" applyAlignment="1" applyProtection="1">
      <alignment horizontal="center" vertical="center"/>
      <protection locked="0"/>
    </xf>
    <xf numFmtId="0" fontId="15" fillId="4" borderId="0" xfId="0" applyFont="1" applyFill="1" applyAlignment="1" applyProtection="1">
      <alignment horizontal="center" vertical="center"/>
      <protection locked="0"/>
    </xf>
    <xf numFmtId="0" fontId="17" fillId="4" borderId="0" xfId="0" applyFont="1" applyFill="1" applyAlignment="1" applyProtection="1">
      <alignment horizontal="center" vertical="center"/>
      <protection locked="0"/>
    </xf>
    <xf numFmtId="0" fontId="15" fillId="2" borderId="0" xfId="0" applyNumberFormat="1" applyFont="1" applyFill="1" applyBorder="1" applyAlignment="1" applyProtection="1">
      <alignment horizontal="center" vertical="center"/>
      <protection locked="0"/>
    </xf>
    <xf numFmtId="0" fontId="18" fillId="2" borderId="0" xfId="0" applyNumberFormat="1" applyFont="1" applyFill="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22" fillId="4" borderId="0" xfId="0" applyFont="1" applyFill="1" applyBorder="1" applyAlignment="1" applyProtection="1">
      <alignment horizontal="center" vertical="center" wrapText="1"/>
      <protection locked="0"/>
    </xf>
    <xf numFmtId="0" fontId="22" fillId="0" borderId="0" xfId="0" applyFont="1" applyFill="1" applyBorder="1" applyAlignment="1" applyProtection="1">
      <alignment horizontal="center" vertical="center" wrapText="1"/>
      <protection locked="0"/>
    </xf>
    <xf numFmtId="0" fontId="15" fillId="2" borderId="0" xfId="0" applyNumberFormat="1" applyFont="1" applyFill="1" applyAlignment="1" applyProtection="1">
      <alignment vertical="center"/>
      <protection locked="0"/>
    </xf>
    <xf numFmtId="0" fontId="34" fillId="3" borderId="1" xfId="0" applyFont="1" applyFill="1" applyBorder="1" applyAlignment="1" applyProtection="1">
      <alignment horizontal="center" vertical="center"/>
      <protection locked="0"/>
    </xf>
    <xf numFmtId="0" fontId="34" fillId="0" borderId="0" xfId="0" applyFont="1" applyAlignment="1" applyProtection="1">
      <alignment horizontal="center" vertical="center"/>
      <protection locked="0"/>
    </xf>
    <xf numFmtId="0" fontId="34" fillId="0" borderId="0" xfId="0" applyFont="1" applyFill="1" applyAlignment="1" applyProtection="1">
      <alignment horizontal="center" vertical="center"/>
      <protection locked="0"/>
    </xf>
    <xf numFmtId="0" fontId="34" fillId="4" borderId="0" xfId="0" applyFont="1" applyFill="1" applyBorder="1" applyAlignment="1" applyProtection="1">
      <alignment horizontal="center" vertical="center"/>
      <protection locked="0"/>
    </xf>
    <xf numFmtId="0" fontId="34" fillId="0" borderId="1" xfId="0" applyFont="1" applyFill="1" applyBorder="1" applyAlignment="1" applyProtection="1">
      <alignment horizontal="center" vertical="center"/>
      <protection locked="0"/>
    </xf>
    <xf numFmtId="0" fontId="14" fillId="3" borderId="27" xfId="0" applyFont="1" applyFill="1" applyBorder="1" applyAlignment="1" applyProtection="1">
      <alignment horizontal="center" vertical="center"/>
    </xf>
    <xf numFmtId="0" fontId="34" fillId="22" borderId="1" xfId="0" applyFont="1" applyFill="1" applyBorder="1" applyAlignment="1" applyProtection="1">
      <alignment horizontal="center" vertical="center"/>
      <protection locked="0"/>
    </xf>
    <xf numFmtId="0" fontId="17" fillId="0" borderId="0" xfId="0" applyFont="1" applyFill="1" applyAlignment="1" applyProtection="1">
      <alignment vertical="center"/>
      <protection locked="0"/>
    </xf>
    <xf numFmtId="0" fontId="34" fillId="27" borderId="1" xfId="0" applyFont="1" applyFill="1" applyBorder="1" applyAlignment="1" applyProtection="1">
      <alignment horizontal="center" vertical="center"/>
      <protection locked="0"/>
    </xf>
    <xf numFmtId="0" fontId="50" fillId="0" borderId="1" xfId="0" applyFont="1" applyFill="1" applyBorder="1" applyAlignment="1" applyProtection="1">
      <alignment horizontal="center" vertical="center" wrapText="1"/>
      <protection locked="0"/>
    </xf>
    <xf numFmtId="176" fontId="14" fillId="0" borderId="1" xfId="0" applyNumberFormat="1" applyFont="1" applyFill="1" applyBorder="1" applyAlignment="1" applyProtection="1">
      <alignment horizontal="center" vertical="center" wrapText="1"/>
      <protection locked="0"/>
    </xf>
    <xf numFmtId="0" fontId="18" fillId="2" borderId="0" xfId="0" applyFont="1" applyFill="1" applyAlignment="1" applyProtection="1">
      <alignment horizontal="center" vertical="center"/>
      <protection locked="0"/>
    </xf>
    <xf numFmtId="0" fontId="36" fillId="0" borderId="44" xfId="0" applyFont="1" applyBorder="1" applyAlignment="1">
      <alignment horizontal="center" vertical="center" wrapText="1"/>
    </xf>
    <xf numFmtId="0" fontId="36" fillId="0" borderId="3" xfId="0" applyFont="1" applyBorder="1" applyAlignment="1">
      <alignment horizontal="center" vertical="center" wrapText="1"/>
    </xf>
    <xf numFmtId="0" fontId="36" fillId="0" borderId="2" xfId="0" applyFont="1" applyBorder="1" applyAlignment="1">
      <alignment horizontal="center" vertical="center" wrapText="1"/>
    </xf>
    <xf numFmtId="0" fontId="36" fillId="0" borderId="0" xfId="0" applyFont="1" applyBorder="1" applyAlignment="1">
      <alignment horizontal="center" vertical="center" wrapText="1"/>
    </xf>
    <xf numFmtId="0" fontId="35" fillId="0" borderId="3" xfId="0" applyFont="1" applyBorder="1" applyAlignment="1">
      <alignment horizontal="center" vertical="center" wrapText="1"/>
    </xf>
    <xf numFmtId="0" fontId="35" fillId="0" borderId="43" xfId="0" applyFont="1" applyBorder="1" applyAlignment="1">
      <alignment horizontal="center" vertical="center" wrapText="1"/>
    </xf>
    <xf numFmtId="0" fontId="35" fillId="0" borderId="2" xfId="0" applyFont="1" applyBorder="1" applyAlignment="1">
      <alignment horizontal="center" vertical="center" wrapText="1"/>
    </xf>
    <xf numFmtId="0" fontId="35" fillId="0" borderId="44" xfId="0" applyFont="1" applyBorder="1" applyAlignment="1">
      <alignment horizontal="center" vertical="center" wrapText="1"/>
    </xf>
    <xf numFmtId="0" fontId="5" fillId="0" borderId="44" xfId="0" applyFont="1" applyBorder="1" applyAlignment="1">
      <alignment horizontal="center" vertical="center" wrapText="1"/>
    </xf>
    <xf numFmtId="0" fontId="6" fillId="0" borderId="44" xfId="0" applyFont="1" applyBorder="1" applyAlignment="1">
      <alignment horizontal="center" vertical="center" wrapText="1"/>
    </xf>
    <xf numFmtId="0" fontId="7" fillId="0" borderId="44" xfId="0" applyFont="1" applyBorder="1" applyAlignment="1">
      <alignment horizontal="center" vertical="center" wrapText="1"/>
    </xf>
    <xf numFmtId="0" fontId="39" fillId="0" borderId="44" xfId="0" applyFont="1" applyBorder="1" applyAlignment="1">
      <alignment horizontal="center" vertical="center" wrapText="1"/>
    </xf>
    <xf numFmtId="0" fontId="43" fillId="3" borderId="0" xfId="0" applyNumberFormat="1" applyFont="1" applyFill="1" applyProtection="1">
      <alignment vertical="center"/>
      <protection locked="0"/>
    </xf>
    <xf numFmtId="0" fontId="0" fillId="0" borderId="0" xfId="0" applyFill="1" applyAlignment="1" applyProtection="1">
      <alignment horizontal="center" vertical="center"/>
    </xf>
    <xf numFmtId="0" fontId="0" fillId="4" borderId="0" xfId="0" applyNumberFormat="1" applyFont="1" applyFill="1" applyProtection="1">
      <alignment vertical="center"/>
      <protection locked="0"/>
    </xf>
    <xf numFmtId="0" fontId="0" fillId="4" borderId="0" xfId="0" applyFont="1" applyFill="1" applyBorder="1" applyAlignment="1" applyProtection="1">
      <alignment horizontal="left" vertical="center"/>
      <protection locked="0"/>
    </xf>
    <xf numFmtId="0" fontId="44" fillId="0" borderId="1" xfId="0" applyFont="1" applyFill="1" applyBorder="1" applyAlignment="1">
      <alignment horizontal="center" vertical="center"/>
    </xf>
    <xf numFmtId="0" fontId="34" fillId="27" borderId="4" xfId="0" applyFont="1" applyFill="1" applyBorder="1" applyAlignment="1" applyProtection="1">
      <alignment horizontal="center" vertical="center"/>
      <protection locked="0"/>
    </xf>
    <xf numFmtId="0" fontId="34" fillId="27" borderId="5" xfId="0" applyFont="1" applyFill="1" applyBorder="1" applyAlignment="1" applyProtection="1">
      <alignment horizontal="center" vertical="center"/>
      <protection locked="0"/>
    </xf>
    <xf numFmtId="0" fontId="34" fillId="27" borderId="6" xfId="0" applyFont="1" applyFill="1" applyBorder="1" applyAlignment="1" applyProtection="1">
      <alignment horizontal="center" vertical="center"/>
      <protection locked="0"/>
    </xf>
    <xf numFmtId="0" fontId="52" fillId="4" borderId="0" xfId="0" applyFont="1" applyFill="1" applyAlignment="1">
      <alignment horizontal="center" vertical="center"/>
    </xf>
    <xf numFmtId="0" fontId="0" fillId="0" borderId="1" xfId="0" applyBorder="1" applyAlignment="1">
      <alignment horizontal="center" vertical="center" wrapText="1"/>
    </xf>
    <xf numFmtId="0" fontId="34" fillId="0" borderId="1" xfId="0" applyFont="1" applyBorder="1" applyAlignment="1">
      <alignment horizontal="center" vertical="center" wrapText="1"/>
    </xf>
    <xf numFmtId="0" fontId="34" fillId="27" borderId="4" xfId="0" applyFont="1" applyFill="1" applyBorder="1" applyAlignment="1" applyProtection="1">
      <alignment horizontal="center" vertical="center"/>
      <protection locked="0"/>
    </xf>
    <xf numFmtId="0" fontId="34" fillId="27" borderId="5" xfId="0" applyFont="1" applyFill="1" applyBorder="1" applyAlignment="1" applyProtection="1">
      <alignment horizontal="center" vertical="center"/>
      <protection locked="0"/>
    </xf>
    <xf numFmtId="0" fontId="34" fillId="27" borderId="6" xfId="0" applyFont="1" applyFill="1" applyBorder="1" applyAlignment="1" applyProtection="1">
      <alignment horizontal="center" vertical="center"/>
      <protection locked="0"/>
    </xf>
    <xf numFmtId="0" fontId="53" fillId="0" borderId="0" xfId="0" applyFont="1" applyFill="1" applyAlignment="1">
      <alignment horizontal="center" vertical="center"/>
    </xf>
    <xf numFmtId="0" fontId="0" fillId="27" borderId="1" xfId="0" applyFill="1" applyBorder="1" applyAlignment="1">
      <alignment horizontal="center" vertical="center"/>
    </xf>
    <xf numFmtId="0" fontId="0" fillId="0" borderId="1" xfId="0" applyBorder="1" applyAlignment="1">
      <alignment horizontal="center" vertical="center"/>
    </xf>
    <xf numFmtId="0" fontId="34" fillId="0" borderId="1" xfId="0" applyFont="1" applyBorder="1" applyAlignment="1">
      <alignment horizontal="center" vertical="center"/>
    </xf>
    <xf numFmtId="0" fontId="34" fillId="27" borderId="1" xfId="0" applyFont="1" applyFill="1" applyBorder="1" applyAlignment="1">
      <alignment horizontal="center" vertical="center"/>
    </xf>
    <xf numFmtId="0" fontId="34" fillId="6" borderId="1" xfId="0" applyFont="1" applyFill="1" applyBorder="1" applyAlignment="1">
      <alignment horizontal="center" vertical="center"/>
    </xf>
    <xf numFmtId="0" fontId="0" fillId="4" borderId="0" xfId="0" applyNumberFormat="1" applyFont="1" applyFill="1" applyProtection="1">
      <alignment vertical="center"/>
      <protection locked="0"/>
    </xf>
    <xf numFmtId="0" fontId="3" fillId="3" borderId="39" xfId="0" applyFont="1" applyFill="1" applyBorder="1" applyAlignment="1">
      <alignment horizontal="center" vertical="center"/>
    </xf>
    <xf numFmtId="0" fontId="3" fillId="0" borderId="39" xfId="0" applyFont="1" applyBorder="1" applyAlignment="1">
      <alignment horizontal="center" vertical="center"/>
    </xf>
    <xf numFmtId="14" fontId="34" fillId="0" borderId="1" xfId="0" applyNumberFormat="1" applyFont="1" applyBorder="1" applyAlignment="1">
      <alignment horizontal="center" vertical="center" wrapText="1"/>
    </xf>
    <xf numFmtId="0" fontId="25" fillId="5" borderId="59" xfId="0" applyNumberFormat="1" applyFont="1" applyFill="1" applyBorder="1" applyAlignment="1" applyProtection="1">
      <alignment horizontal="center" vertical="center"/>
      <protection locked="0"/>
    </xf>
    <xf numFmtId="0" fontId="15" fillId="0" borderId="59" xfId="0" applyNumberFormat="1" applyFont="1" applyFill="1" applyBorder="1" applyAlignment="1" applyProtection="1">
      <alignment horizontal="center" vertical="center"/>
      <protection locked="0"/>
    </xf>
    <xf numFmtId="0" fontId="0" fillId="23" borderId="59" xfId="0" applyNumberFormat="1" applyFont="1" applyFill="1" applyBorder="1" applyAlignment="1" applyProtection="1">
      <alignment horizontal="center" vertical="center"/>
      <protection locked="0"/>
    </xf>
    <xf numFmtId="0" fontId="0" fillId="3" borderId="59" xfId="0" applyNumberFormat="1" applyFont="1" applyFill="1" applyBorder="1" applyAlignment="1" applyProtection="1">
      <alignment horizontal="center" vertical="center"/>
    </xf>
    <xf numFmtId="0" fontId="0" fillId="0" borderId="59" xfId="0" applyNumberFormat="1" applyFont="1" applyFill="1" applyBorder="1" applyAlignment="1" applyProtection="1">
      <alignment horizontal="center" vertical="center"/>
      <protection locked="0"/>
    </xf>
    <xf numFmtId="0" fontId="0" fillId="0" borderId="59" xfId="0" applyNumberFormat="1" applyFont="1" applyBorder="1" applyAlignment="1" applyProtection="1">
      <alignment horizontal="center" vertical="center"/>
      <protection locked="0"/>
    </xf>
    <xf numFmtId="0" fontId="25" fillId="24" borderId="59" xfId="0" applyNumberFormat="1" applyFont="1" applyFill="1" applyBorder="1" applyProtection="1">
      <alignment vertical="center"/>
      <protection locked="0"/>
    </xf>
    <xf numFmtId="0" fontId="24" fillId="9" borderId="59" xfId="0" applyNumberFormat="1" applyFont="1" applyFill="1" applyBorder="1" applyProtection="1">
      <alignment vertical="center"/>
      <protection locked="0"/>
    </xf>
    <xf numFmtId="0" fontId="26" fillId="0" borderId="59" xfId="0" applyNumberFormat="1" applyFont="1" applyFill="1" applyBorder="1" applyAlignment="1" applyProtection="1">
      <alignment horizontal="center" vertical="center"/>
      <protection locked="0"/>
    </xf>
    <xf numFmtId="0" fontId="25" fillId="5" borderId="61" xfId="0" applyNumberFormat="1" applyFont="1" applyFill="1" applyBorder="1" applyAlignment="1" applyProtection="1">
      <alignment horizontal="center" vertical="center"/>
      <protection locked="0"/>
    </xf>
    <xf numFmtId="0" fontId="25" fillId="5" borderId="62" xfId="0" applyNumberFormat="1" applyFont="1" applyFill="1" applyBorder="1" applyAlignment="1" applyProtection="1">
      <alignment horizontal="center" vertical="center"/>
      <protection locked="0"/>
    </xf>
    <xf numFmtId="0" fontId="0" fillId="3" borderId="64" xfId="0" applyNumberFormat="1" applyFont="1" applyFill="1" applyBorder="1" applyAlignment="1" applyProtection="1">
      <alignment horizontal="center" vertical="center"/>
    </xf>
    <xf numFmtId="0" fontId="25" fillId="5" borderId="64" xfId="0" applyNumberFormat="1" applyFont="1" applyFill="1" applyBorder="1" applyAlignment="1" applyProtection="1">
      <alignment horizontal="center" vertical="center"/>
    </xf>
    <xf numFmtId="0" fontId="25" fillId="4" borderId="64" xfId="0" applyNumberFormat="1" applyFont="1" applyFill="1" applyBorder="1" applyAlignment="1" applyProtection="1">
      <alignment horizontal="left" vertical="center"/>
    </xf>
    <xf numFmtId="0" fontId="25" fillId="24" borderId="63" xfId="0" applyNumberFormat="1" applyFont="1" applyFill="1" applyBorder="1" applyProtection="1">
      <alignment vertical="center"/>
      <protection locked="0"/>
    </xf>
    <xf numFmtId="0" fontId="25" fillId="24" borderId="65" xfId="0" applyNumberFormat="1" applyFont="1" applyFill="1" applyBorder="1" applyProtection="1">
      <alignment vertical="center"/>
      <protection locked="0"/>
    </xf>
    <xf numFmtId="0" fontId="0" fillId="0" borderId="66" xfId="0" applyNumberFormat="1" applyFont="1" applyFill="1" applyBorder="1" applyAlignment="1" applyProtection="1">
      <alignment horizontal="center" vertical="center"/>
      <protection locked="0"/>
    </xf>
    <xf numFmtId="0" fontId="0" fillId="3" borderId="67" xfId="0" applyNumberFormat="1" applyFont="1" applyFill="1" applyBorder="1" applyAlignment="1" applyProtection="1">
      <alignment horizontal="center" vertical="center"/>
    </xf>
    <xf numFmtId="0" fontId="25" fillId="24" borderId="63" xfId="0" applyNumberFormat="1" applyFont="1" applyFill="1" applyBorder="1" applyAlignment="1" applyProtection="1">
      <alignment horizontal="left" vertical="center"/>
      <protection locked="0"/>
    </xf>
    <xf numFmtId="0" fontId="25" fillId="24" borderId="65" xfId="0" applyNumberFormat="1" applyFont="1" applyFill="1" applyBorder="1" applyAlignment="1" applyProtection="1">
      <alignment horizontal="left" vertical="center"/>
      <protection locked="0"/>
    </xf>
    <xf numFmtId="0" fontId="24" fillId="9" borderId="66" xfId="0" applyNumberFormat="1" applyFont="1" applyFill="1" applyBorder="1" applyProtection="1">
      <alignment vertical="center"/>
      <protection locked="0"/>
    </xf>
    <xf numFmtId="0" fontId="0" fillId="0" borderId="66" xfId="0" applyNumberFormat="1" applyFont="1" applyBorder="1" applyAlignment="1" applyProtection="1">
      <alignment horizontal="center" vertical="center"/>
      <protection locked="0"/>
    </xf>
    <xf numFmtId="0" fontId="25" fillId="2" borderId="63" xfId="0" applyNumberFormat="1" applyFont="1" applyFill="1" applyBorder="1" applyAlignment="1" applyProtection="1">
      <alignment horizontal="left" vertical="center"/>
      <protection locked="0"/>
    </xf>
    <xf numFmtId="0" fontId="15" fillId="5" borderId="59" xfId="0" applyNumberFormat="1" applyFont="1" applyFill="1" applyBorder="1" applyAlignment="1" applyProtection="1">
      <alignment horizontal="center" vertical="center"/>
      <protection locked="0"/>
    </xf>
    <xf numFmtId="0" fontId="0" fillId="0" borderId="59" xfId="0" applyNumberFormat="1" applyFont="1" applyFill="1" applyBorder="1" applyProtection="1">
      <alignment vertical="center"/>
      <protection locked="0"/>
    </xf>
    <xf numFmtId="0" fontId="0" fillId="9" borderId="59" xfId="0" applyNumberFormat="1" applyFont="1" applyFill="1" applyBorder="1" applyAlignment="1" applyProtection="1">
      <alignment horizontal="center" vertical="center"/>
      <protection locked="0"/>
    </xf>
    <xf numFmtId="0" fontId="28" fillId="3" borderId="59" xfId="0" applyNumberFormat="1" applyFont="1" applyFill="1" applyBorder="1" applyAlignment="1" applyProtection="1">
      <alignment horizontal="center" vertical="center"/>
    </xf>
    <xf numFmtId="0" fontId="15" fillId="5" borderId="1" xfId="0" applyFont="1" applyFill="1" applyBorder="1" applyAlignment="1">
      <alignment horizontal="center" vertical="center"/>
    </xf>
    <xf numFmtId="0" fontId="14" fillId="0" borderId="1" xfId="0" applyFont="1" applyBorder="1" applyAlignment="1">
      <alignment horizontal="center" vertical="center"/>
    </xf>
    <xf numFmtId="0" fontId="14" fillId="0" borderId="59" xfId="0" applyFont="1" applyBorder="1" applyAlignment="1" applyProtection="1">
      <alignment horizontal="center" vertical="center" wrapText="1"/>
      <protection locked="0"/>
    </xf>
    <xf numFmtId="0" fontId="14" fillId="0" borderId="59" xfId="0" applyFont="1" applyFill="1" applyBorder="1" applyAlignment="1" applyProtection="1">
      <alignment horizontal="center" vertical="center" wrapText="1"/>
      <protection locked="0"/>
    </xf>
    <xf numFmtId="0" fontId="14" fillId="0" borderId="59" xfId="0" applyNumberFormat="1" applyFont="1" applyBorder="1" applyAlignment="1" applyProtection="1">
      <alignment horizontal="center" vertical="center" wrapText="1"/>
      <protection locked="0"/>
    </xf>
    <xf numFmtId="0" fontId="18" fillId="26" borderId="59" xfId="0" applyFont="1" applyFill="1" applyBorder="1" applyAlignment="1" applyProtection="1">
      <alignment horizontal="center" vertical="center"/>
      <protection locked="0"/>
    </xf>
    <xf numFmtId="0" fontId="15" fillId="5" borderId="59" xfId="0" applyFont="1" applyFill="1" applyBorder="1" applyAlignment="1" applyProtection="1">
      <alignment horizontal="center" vertical="center"/>
      <protection locked="0"/>
    </xf>
    <xf numFmtId="0" fontId="15" fillId="5" borderId="68" xfId="0" applyFont="1" applyFill="1" applyBorder="1" applyAlignment="1" applyProtection="1">
      <alignment horizontal="center" vertical="center"/>
      <protection locked="0"/>
    </xf>
    <xf numFmtId="0" fontId="14" fillId="3" borderId="59" xfId="0" applyFont="1" applyFill="1" applyBorder="1" applyAlignment="1" applyProtection="1">
      <alignment horizontal="center" vertical="center"/>
    </xf>
    <xf numFmtId="0" fontId="0" fillId="3" borderId="59" xfId="0" applyFont="1" applyFill="1" applyBorder="1" applyAlignment="1" applyProtection="1">
      <alignment horizontal="center" vertical="center"/>
    </xf>
    <xf numFmtId="0" fontId="23" fillId="5" borderId="59" xfId="0" applyFont="1" applyFill="1" applyBorder="1" applyAlignment="1" applyProtection="1">
      <alignment horizontal="center" vertical="center"/>
      <protection locked="0"/>
    </xf>
    <xf numFmtId="0" fontId="0" fillId="3" borderId="59" xfId="0" applyFont="1" applyFill="1" applyBorder="1" applyAlignment="1" applyProtection="1">
      <alignment horizontal="center" vertical="center"/>
      <protection locked="0"/>
    </xf>
    <xf numFmtId="0" fontId="0" fillId="0" borderId="59" xfId="0" applyFont="1" applyFill="1" applyBorder="1" applyAlignment="1" applyProtection="1">
      <alignment horizontal="center" vertical="center"/>
      <protection locked="0"/>
    </xf>
    <xf numFmtId="0" fontId="15" fillId="0" borderId="59" xfId="0" applyFont="1" applyFill="1" applyBorder="1" applyAlignment="1" applyProtection="1">
      <alignment horizontal="center" vertical="center"/>
      <protection locked="0"/>
    </xf>
    <xf numFmtId="0" fontId="14" fillId="0" borderId="59" xfId="0" applyFont="1" applyFill="1" applyBorder="1" applyAlignment="1" applyProtection="1">
      <alignment horizontal="center" vertical="center"/>
      <protection locked="0"/>
    </xf>
    <xf numFmtId="0" fontId="43" fillId="5" borderId="59" xfId="0" applyFont="1" applyFill="1" applyBorder="1" applyAlignment="1" applyProtection="1">
      <alignment horizontal="center" vertical="center"/>
      <protection locked="0"/>
    </xf>
    <xf numFmtId="0" fontId="54" fillId="4" borderId="0" xfId="0" applyNumberFormat="1" applyFont="1" applyFill="1" applyBorder="1" applyProtection="1">
      <alignment vertical="center"/>
      <protection locked="0"/>
    </xf>
    <xf numFmtId="0" fontId="18" fillId="4" borderId="0" xfId="0" applyNumberFormat="1" applyFont="1" applyFill="1" applyBorder="1" applyProtection="1">
      <alignment vertical="center"/>
      <protection locked="0"/>
    </xf>
    <xf numFmtId="0" fontId="32" fillId="3" borderId="0" xfId="0" applyFont="1" applyFill="1" applyAlignment="1">
      <alignment horizontal="center" vertical="center"/>
    </xf>
    <xf numFmtId="0" fontId="14" fillId="25" borderId="0" xfId="0" applyFont="1" applyFill="1" applyAlignment="1">
      <alignment horizontal="center" vertical="center"/>
    </xf>
    <xf numFmtId="0" fontId="14" fillId="0" borderId="0" xfId="0" applyFont="1" applyFill="1" applyAlignment="1">
      <alignment horizontal="center" vertical="center"/>
    </xf>
    <xf numFmtId="0" fontId="14" fillId="0" borderId="0" xfId="0" applyFont="1" applyAlignment="1">
      <alignment horizontal="center" vertical="center" wrapText="1"/>
    </xf>
    <xf numFmtId="0" fontId="34" fillId="0" borderId="4" xfId="0" applyFont="1" applyBorder="1" applyAlignment="1">
      <alignment horizontal="center" vertical="center" wrapText="1"/>
    </xf>
    <xf numFmtId="0" fontId="34" fillId="0" borderId="5" xfId="0" applyFont="1" applyBorder="1" applyAlignment="1">
      <alignment horizontal="center" vertical="center" wrapText="1"/>
    </xf>
    <xf numFmtId="0" fontId="34" fillId="0" borderId="6" xfId="0" applyFont="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xf>
    <xf numFmtId="0" fontId="0" fillId="0" borderId="59" xfId="0" applyNumberFormat="1" applyFont="1" applyFill="1" applyBorder="1" applyAlignment="1" applyProtection="1">
      <alignment horizontal="left" vertical="center" wrapText="1"/>
      <protection locked="0"/>
    </xf>
    <xf numFmtId="0" fontId="0" fillId="27" borderId="59" xfId="0" applyNumberFormat="1" applyFont="1" applyFill="1" applyBorder="1" applyAlignment="1" applyProtection="1">
      <alignment horizontal="center" vertical="center" wrapText="1"/>
    </xf>
    <xf numFmtId="0" fontId="14" fillId="3" borderId="59" xfId="0" applyNumberFormat="1" applyFont="1" applyFill="1" applyBorder="1" applyAlignment="1" applyProtection="1">
      <alignment horizontal="center" vertical="center" wrapText="1"/>
    </xf>
    <xf numFmtId="0" fontId="0" fillId="0" borderId="59" xfId="0" applyNumberFormat="1" applyFont="1" applyFill="1" applyBorder="1" applyAlignment="1" applyProtection="1">
      <alignment horizontal="center" vertical="center"/>
      <protection locked="0"/>
    </xf>
    <xf numFmtId="0" fontId="24" fillId="9" borderId="1" xfId="0" applyNumberFormat="1" applyFont="1" applyFill="1" applyBorder="1" applyAlignment="1" applyProtection="1">
      <alignment horizontal="center" vertical="center"/>
      <protection locked="0"/>
    </xf>
    <xf numFmtId="0" fontId="25" fillId="4" borderId="63" xfId="0" applyNumberFormat="1" applyFont="1" applyFill="1" applyBorder="1" applyAlignment="1" applyProtection="1">
      <alignment horizontal="left" vertical="center"/>
      <protection locked="0"/>
    </xf>
    <xf numFmtId="0" fontId="25" fillId="4" borderId="59" xfId="0" applyNumberFormat="1" applyFont="1" applyFill="1" applyBorder="1" applyAlignment="1" applyProtection="1">
      <alignment horizontal="left" vertical="center"/>
      <protection locked="0"/>
    </xf>
    <xf numFmtId="0" fontId="25" fillId="4" borderId="65" xfId="0" applyNumberFormat="1" applyFont="1" applyFill="1" applyBorder="1" applyAlignment="1" applyProtection="1">
      <alignment horizontal="left" vertical="center"/>
      <protection locked="0"/>
    </xf>
    <xf numFmtId="0" fontId="25" fillId="4" borderId="66" xfId="0" applyNumberFormat="1" applyFont="1" applyFill="1" applyBorder="1" applyAlignment="1" applyProtection="1">
      <alignment horizontal="left" vertical="center"/>
      <protection locked="0"/>
    </xf>
    <xf numFmtId="0" fontId="15" fillId="5" borderId="59" xfId="0" applyFont="1" applyFill="1" applyBorder="1" applyAlignment="1" applyProtection="1">
      <alignment horizontal="center" vertical="center"/>
      <protection locked="0"/>
    </xf>
    <xf numFmtId="0" fontId="0" fillId="0" borderId="59" xfId="0" applyNumberFormat="1" applyFont="1" applyFill="1" applyBorder="1" applyAlignment="1" applyProtection="1">
      <alignment horizontal="center" vertical="center" wrapText="1"/>
      <protection locked="0"/>
    </xf>
    <xf numFmtId="0" fontId="14" fillId="27" borderId="59" xfId="0" applyNumberFormat="1" applyFont="1" applyFill="1" applyBorder="1" applyAlignment="1" applyProtection="1">
      <alignment horizontal="center" vertical="center" wrapText="1"/>
    </xf>
    <xf numFmtId="0" fontId="15" fillId="5" borderId="59" xfId="0" applyNumberFormat="1" applyFont="1" applyFill="1" applyBorder="1" applyAlignment="1" applyProtection="1">
      <alignment horizontal="center" vertical="center"/>
      <protection locked="0"/>
    </xf>
    <xf numFmtId="0" fontId="0" fillId="27" borderId="59" xfId="0" applyNumberFormat="1" applyFont="1" applyFill="1" applyBorder="1" applyAlignment="1" applyProtection="1">
      <alignment horizontal="center" vertical="center" wrapText="1"/>
      <protection locked="0"/>
    </xf>
    <xf numFmtId="0" fontId="0" fillId="3" borderId="59" xfId="0" applyNumberFormat="1" applyFont="1" applyFill="1" applyBorder="1" applyAlignment="1" applyProtection="1">
      <alignment horizontal="center" vertical="center" wrapText="1"/>
    </xf>
    <xf numFmtId="0" fontId="14" fillId="0" borderId="59" xfId="0" applyNumberFormat="1" applyFont="1" applyFill="1" applyBorder="1" applyAlignment="1" applyProtection="1">
      <alignment horizontal="center" vertical="center" wrapText="1"/>
    </xf>
    <xf numFmtId="0" fontId="0" fillId="3" borderId="59" xfId="0" applyNumberFormat="1" applyFont="1" applyFill="1" applyBorder="1" applyAlignment="1" applyProtection="1">
      <alignment horizontal="center" vertical="center"/>
    </xf>
    <xf numFmtId="0" fontId="0" fillId="0" borderId="59" xfId="0" applyNumberFormat="1" applyFont="1" applyBorder="1" applyAlignment="1" applyProtection="1">
      <alignment horizontal="center" vertical="center"/>
      <protection locked="0"/>
    </xf>
    <xf numFmtId="0" fontId="15" fillId="4" borderId="59" xfId="0" applyNumberFormat="1" applyFont="1" applyFill="1" applyBorder="1" applyAlignment="1" applyProtection="1">
      <alignment horizontal="center" vertical="center"/>
      <protection locked="0"/>
    </xf>
    <xf numFmtId="0" fontId="34" fillId="29" borderId="59" xfId="0" applyNumberFormat="1" applyFont="1" applyFill="1" applyBorder="1" applyAlignment="1" applyProtection="1">
      <alignment horizontal="center" vertical="center"/>
      <protection locked="0"/>
    </xf>
    <xf numFmtId="0" fontId="15" fillId="24" borderId="59" xfId="0" applyNumberFormat="1" applyFont="1" applyFill="1" applyBorder="1" applyAlignment="1" applyProtection="1">
      <alignment horizontal="center" vertical="center"/>
      <protection locked="0"/>
    </xf>
    <xf numFmtId="0" fontId="30" fillId="4" borderId="0" xfId="0" applyNumberFormat="1" applyFont="1" applyFill="1" applyAlignment="1" applyProtection="1">
      <alignment horizontal="center" vertical="center" wrapText="1"/>
      <protection locked="0"/>
    </xf>
    <xf numFmtId="0" fontId="18" fillId="4" borderId="0" xfId="0" applyNumberFormat="1" applyFont="1" applyFill="1" applyAlignment="1" applyProtection="1">
      <alignment horizontal="center" vertical="center"/>
      <protection locked="0"/>
    </xf>
    <xf numFmtId="0" fontId="18" fillId="26" borderId="59" xfId="0" applyFont="1" applyFill="1" applyBorder="1" applyAlignment="1">
      <alignment horizontal="center" vertical="center"/>
    </xf>
    <xf numFmtId="0" fontId="51" fillId="28" borderId="59" xfId="0" applyFont="1" applyFill="1" applyBorder="1" applyAlignment="1">
      <alignment horizontal="center" vertical="center"/>
    </xf>
    <xf numFmtId="0" fontId="51" fillId="28" borderId="59" xfId="0" applyFont="1" applyFill="1" applyBorder="1" applyAlignment="1">
      <alignment horizontal="center" vertical="center" wrapText="1"/>
    </xf>
    <xf numFmtId="0" fontId="0" fillId="27" borderId="59" xfId="0" applyNumberFormat="1" applyFont="1" applyFill="1" applyBorder="1" applyAlignment="1" applyProtection="1">
      <alignment horizontal="center" vertical="center"/>
    </xf>
    <xf numFmtId="0" fontId="15" fillId="4" borderId="17" xfId="0" applyNumberFormat="1" applyFont="1" applyFill="1" applyBorder="1" applyAlignment="1" applyProtection="1">
      <alignment horizontal="center" vertical="center"/>
      <protection locked="0"/>
    </xf>
    <xf numFmtId="0" fontId="0" fillId="4" borderId="0" xfId="0" applyNumberFormat="1" applyFont="1" applyFill="1" applyAlignment="1" applyProtection="1">
      <alignment horizontal="center" vertical="center"/>
      <protection locked="0"/>
    </xf>
    <xf numFmtId="0" fontId="0" fillId="4" borderId="0" xfId="0" applyNumberFormat="1" applyFont="1" applyFill="1" applyProtection="1">
      <alignment vertical="center"/>
      <protection locked="0"/>
    </xf>
    <xf numFmtId="0" fontId="25" fillId="2" borderId="63" xfId="0" applyNumberFormat="1" applyFont="1" applyFill="1" applyBorder="1" applyAlignment="1" applyProtection="1">
      <alignment horizontal="left" vertical="center"/>
      <protection locked="0"/>
    </xf>
    <xf numFmtId="0" fontId="25" fillId="2" borderId="59" xfId="0" applyNumberFormat="1" applyFont="1" applyFill="1" applyBorder="1" applyAlignment="1" applyProtection="1">
      <alignment horizontal="left" vertical="center"/>
      <protection locked="0"/>
    </xf>
    <xf numFmtId="0" fontId="15" fillId="5" borderId="59" xfId="0" applyNumberFormat="1" applyFont="1" applyFill="1" applyBorder="1" applyAlignment="1" applyProtection="1">
      <alignment horizontal="center" vertical="center" wrapText="1"/>
      <protection locked="0"/>
    </xf>
    <xf numFmtId="0" fontId="25" fillId="5" borderId="63" xfId="0" applyNumberFormat="1" applyFont="1" applyFill="1" applyBorder="1" applyAlignment="1" applyProtection="1">
      <alignment horizontal="center" vertical="center"/>
      <protection locked="0"/>
    </xf>
    <xf numFmtId="0" fontId="25" fillId="5" borderId="59" xfId="0" applyNumberFormat="1" applyFont="1" applyFill="1" applyBorder="1" applyAlignment="1" applyProtection="1">
      <alignment horizontal="center" vertical="center"/>
      <protection locked="0"/>
    </xf>
    <xf numFmtId="0" fontId="15" fillId="2" borderId="0" xfId="0" applyNumberFormat="1" applyFont="1" applyFill="1" applyAlignment="1" applyProtection="1">
      <alignment horizontal="center" vertical="center"/>
      <protection locked="0"/>
    </xf>
    <xf numFmtId="0" fontId="25" fillId="5" borderId="60" xfId="0" applyNumberFormat="1" applyFont="1" applyFill="1" applyBorder="1" applyAlignment="1" applyProtection="1">
      <alignment horizontal="center" vertical="center"/>
      <protection locked="0"/>
    </xf>
    <xf numFmtId="0" fontId="25" fillId="5" borderId="61" xfId="0" applyNumberFormat="1" applyFont="1" applyFill="1" applyBorder="1" applyAlignment="1" applyProtection="1">
      <alignment horizontal="center" vertical="center"/>
      <protection locked="0"/>
    </xf>
    <xf numFmtId="0" fontId="34" fillId="0" borderId="59" xfId="0" applyNumberFormat="1" applyFont="1" applyBorder="1" applyAlignment="1" applyProtection="1">
      <alignment horizontal="center" vertical="center" wrapText="1"/>
      <protection locked="0"/>
    </xf>
    <xf numFmtId="0" fontId="0" fillId="0" borderId="59" xfId="0" applyNumberFormat="1" applyFont="1" applyBorder="1" applyAlignment="1" applyProtection="1">
      <alignment horizontal="center" vertical="center" wrapText="1"/>
      <protection locked="0"/>
    </xf>
    <xf numFmtId="0" fontId="34" fillId="0" borderId="59" xfId="0" applyNumberFormat="1" applyFont="1" applyBorder="1" applyAlignment="1" applyProtection="1">
      <alignment horizontal="left" vertical="center" wrapText="1"/>
      <protection locked="0"/>
    </xf>
    <xf numFmtId="0" fontId="0" fillId="0" borderId="59" xfId="0" applyNumberFormat="1" applyFont="1" applyBorder="1" applyAlignment="1" applyProtection="1">
      <alignment horizontal="left" vertical="center" wrapText="1"/>
      <protection locked="0"/>
    </xf>
    <xf numFmtId="0" fontId="34" fillId="22" borderId="1" xfId="0" applyFont="1" applyFill="1" applyBorder="1" applyAlignment="1" applyProtection="1">
      <alignment horizontal="left" vertical="center" wrapText="1"/>
      <protection locked="0"/>
    </xf>
    <xf numFmtId="0" fontId="34" fillId="27" borderId="1" xfId="0" applyFont="1" applyFill="1" applyBorder="1" applyAlignment="1" applyProtection="1">
      <alignment horizontal="center" vertical="center" wrapText="1"/>
      <protection locked="0"/>
    </xf>
    <xf numFmtId="0" fontId="34" fillId="0" borderId="4" xfId="0" applyFont="1" applyFill="1" applyBorder="1" applyAlignment="1" applyProtection="1">
      <alignment horizontal="center" vertical="center" wrapText="1"/>
      <protection locked="0"/>
    </xf>
    <xf numFmtId="0" fontId="34" fillId="0" borderId="5" xfId="0" applyFont="1" applyFill="1" applyBorder="1" applyAlignment="1" applyProtection="1">
      <alignment horizontal="center" vertical="center" wrapText="1"/>
      <protection locked="0"/>
    </xf>
    <xf numFmtId="0" fontId="34" fillId="0" borderId="6" xfId="0" applyFont="1" applyFill="1" applyBorder="1" applyAlignment="1" applyProtection="1">
      <alignment horizontal="center" vertical="center" wrapText="1"/>
      <protection locked="0"/>
    </xf>
    <xf numFmtId="0" fontId="34" fillId="27" borderId="4" xfId="0" applyFont="1" applyFill="1" applyBorder="1" applyAlignment="1" applyProtection="1">
      <alignment horizontal="center" vertical="center"/>
      <protection locked="0"/>
    </xf>
    <xf numFmtId="0" fontId="34" fillId="27" borderId="5" xfId="0" applyFont="1" applyFill="1" applyBorder="1" applyAlignment="1" applyProtection="1">
      <alignment horizontal="center" vertical="center"/>
      <protection locked="0"/>
    </xf>
    <xf numFmtId="0" fontId="34" fillId="27" borderId="6" xfId="0" applyFont="1" applyFill="1" applyBorder="1" applyAlignment="1" applyProtection="1">
      <alignment horizontal="center" vertical="center"/>
      <protection locked="0"/>
    </xf>
    <xf numFmtId="0" fontId="17" fillId="0" borderId="0" xfId="0" applyFont="1" applyFill="1" applyAlignment="1" applyProtection="1">
      <alignment horizontal="center" vertical="center"/>
      <protection locked="0"/>
    </xf>
    <xf numFmtId="0" fontId="34" fillId="22" borderId="4" xfId="0" applyFont="1" applyFill="1" applyBorder="1" applyAlignment="1" applyProtection="1">
      <alignment horizontal="left" vertical="center" wrapText="1"/>
      <protection locked="0"/>
    </xf>
    <xf numFmtId="0" fontId="34" fillId="22" borderId="5" xfId="0" applyFont="1" applyFill="1" applyBorder="1" applyAlignment="1" applyProtection="1">
      <alignment horizontal="left" vertical="center" wrapText="1"/>
      <protection locked="0"/>
    </xf>
    <xf numFmtId="0" fontId="34" fillId="22" borderId="6" xfId="0" applyFont="1" applyFill="1" applyBorder="1" applyAlignment="1" applyProtection="1">
      <alignment horizontal="left" vertical="center" wrapText="1"/>
      <protection locked="0"/>
    </xf>
    <xf numFmtId="0" fontId="14" fillId="0" borderId="1" xfId="0" applyFont="1" applyFill="1" applyBorder="1" applyAlignment="1">
      <alignment horizontal="center" vertical="center"/>
    </xf>
    <xf numFmtId="0" fontId="15" fillId="2" borderId="0" xfId="0" applyFont="1" applyFill="1" applyAlignment="1">
      <alignment horizontal="center" vertical="center"/>
    </xf>
    <xf numFmtId="0" fontId="17" fillId="0" borderId="0" xfId="0" applyFont="1" applyFill="1" applyAlignment="1">
      <alignment horizontal="center" vertical="center"/>
    </xf>
    <xf numFmtId="0" fontId="15" fillId="5" borderId="1" xfId="0" applyFont="1" applyFill="1" applyBorder="1" applyAlignment="1">
      <alignment horizontal="center" vertical="center"/>
    </xf>
    <xf numFmtId="0" fontId="0" fillId="0" borderId="59" xfId="0" applyFont="1" applyFill="1" applyBorder="1" applyAlignment="1" applyProtection="1">
      <alignment horizontal="center" vertical="center" wrapText="1"/>
      <protection locked="0"/>
    </xf>
    <xf numFmtId="0" fontId="14" fillId="0" borderId="59" xfId="0" applyFont="1" applyFill="1" applyBorder="1" applyAlignment="1" applyProtection="1">
      <alignment horizontal="center" vertical="center" wrapText="1"/>
      <protection locked="0"/>
    </xf>
    <xf numFmtId="0" fontId="21" fillId="4" borderId="0" xfId="0" applyFont="1" applyFill="1" applyAlignment="1" applyProtection="1">
      <alignment horizontal="center" vertical="center" wrapText="1"/>
      <protection locked="0"/>
    </xf>
    <xf numFmtId="0" fontId="0" fillId="3" borderId="59" xfId="0" applyFont="1" applyFill="1" applyBorder="1" applyAlignment="1" applyProtection="1">
      <alignment horizontal="center" vertical="center"/>
    </xf>
    <xf numFmtId="0" fontId="0" fillId="0" borderId="59" xfId="0" applyFont="1" applyFill="1" applyBorder="1" applyAlignment="1" applyProtection="1">
      <alignment horizontal="center" vertical="center"/>
      <protection locked="0"/>
    </xf>
    <xf numFmtId="0" fontId="0" fillId="3" borderId="59" xfId="0" applyFont="1" applyFill="1" applyBorder="1" applyAlignment="1" applyProtection="1">
      <alignment horizontal="center" vertical="center"/>
      <protection locked="0"/>
    </xf>
    <xf numFmtId="0" fontId="0" fillId="4" borderId="0" xfId="0" applyFont="1" applyFill="1" applyAlignment="1" applyProtection="1">
      <alignment horizontal="center" vertical="center"/>
      <protection locked="0"/>
    </xf>
    <xf numFmtId="0" fontId="18" fillId="4" borderId="0" xfId="0" applyFont="1" applyFill="1" applyAlignment="1" applyProtection="1">
      <alignment horizontal="center" vertical="center"/>
      <protection locked="0"/>
    </xf>
    <xf numFmtId="0" fontId="15" fillId="5" borderId="19" xfId="0" applyFont="1" applyFill="1" applyBorder="1" applyAlignment="1" applyProtection="1">
      <alignment horizontal="center" vertical="center"/>
      <protection locked="0"/>
    </xf>
    <xf numFmtId="0" fontId="15" fillId="5" borderId="34" xfId="0" applyFont="1" applyFill="1" applyBorder="1" applyAlignment="1" applyProtection="1">
      <alignment horizontal="center" vertical="center"/>
      <protection locked="0"/>
    </xf>
    <xf numFmtId="0" fontId="15" fillId="5" borderId="17" xfId="0" applyFont="1" applyFill="1" applyBorder="1" applyAlignment="1" applyProtection="1">
      <alignment horizontal="center" vertical="center"/>
      <protection locked="0"/>
    </xf>
    <xf numFmtId="0" fontId="15" fillId="2" borderId="0" xfId="0" applyFont="1" applyFill="1" applyAlignment="1" applyProtection="1">
      <alignment horizontal="center" vertical="center"/>
      <protection locked="0"/>
    </xf>
    <xf numFmtId="0" fontId="14" fillId="0" borderId="27" xfId="0" applyFont="1" applyFill="1" applyBorder="1" applyAlignment="1" applyProtection="1">
      <alignment horizontal="center" vertical="center"/>
      <protection locked="0"/>
    </xf>
    <xf numFmtId="0" fontId="15" fillId="8" borderId="0" xfId="0" applyFont="1" applyFill="1" applyAlignment="1" applyProtection="1">
      <alignment horizontal="center" vertical="center"/>
      <protection locked="0"/>
    </xf>
    <xf numFmtId="0" fontId="0" fillId="3" borderId="0" xfId="0" applyFill="1" applyAlignment="1" applyProtection="1">
      <alignment horizontal="center" vertical="center"/>
      <protection locked="0"/>
    </xf>
    <xf numFmtId="0" fontId="16" fillId="10" borderId="29" xfId="0" applyFont="1" applyFill="1" applyBorder="1" applyAlignment="1" applyProtection="1">
      <alignment horizontal="center" vertical="center"/>
      <protection locked="0"/>
    </xf>
    <xf numFmtId="0" fontId="16" fillId="10" borderId="28" xfId="0" applyFont="1" applyFill="1" applyBorder="1" applyAlignment="1" applyProtection="1">
      <alignment horizontal="center" vertical="center"/>
      <protection locked="0"/>
    </xf>
    <xf numFmtId="0" fontId="16" fillId="10" borderId="31" xfId="0" applyFont="1" applyFill="1" applyBorder="1" applyAlignment="1" applyProtection="1">
      <alignment horizontal="center" vertical="center"/>
      <protection locked="0"/>
    </xf>
    <xf numFmtId="0" fontId="16" fillId="10" borderId="32" xfId="0" applyFont="1" applyFill="1" applyBorder="1" applyAlignment="1" applyProtection="1">
      <alignment horizontal="center" vertical="center"/>
      <protection locked="0"/>
    </xf>
    <xf numFmtId="0" fontId="16" fillId="10" borderId="30" xfId="0" applyFont="1" applyFill="1" applyBorder="1" applyAlignment="1" applyProtection="1">
      <alignment horizontal="center" vertical="center"/>
      <protection locked="0"/>
    </xf>
    <xf numFmtId="0" fontId="16" fillId="10" borderId="33" xfId="0" applyFont="1" applyFill="1" applyBorder="1" applyAlignment="1" applyProtection="1">
      <alignment horizontal="center" vertical="center"/>
      <protection locked="0"/>
    </xf>
    <xf numFmtId="0" fontId="0" fillId="3" borderId="28" xfId="0" applyFill="1" applyBorder="1" applyAlignment="1" applyProtection="1">
      <alignment horizontal="center" vertical="center" wrapText="1"/>
    </xf>
    <xf numFmtId="0" fontId="0" fillId="3" borderId="0" xfId="0" applyFill="1" applyAlignment="1" applyProtection="1">
      <alignment horizontal="center" vertical="center" wrapText="1"/>
    </xf>
    <xf numFmtId="0" fontId="34" fillId="9" borderId="28" xfId="0" applyFont="1" applyFill="1" applyBorder="1" applyAlignment="1" applyProtection="1">
      <alignment horizontal="center" vertical="center" wrapText="1"/>
      <protection locked="0"/>
    </xf>
    <xf numFmtId="0" fontId="0" fillId="9" borderId="28" xfId="0" applyFill="1" applyBorder="1" applyAlignment="1" applyProtection="1">
      <alignment horizontal="center" vertical="center" wrapText="1"/>
      <protection locked="0"/>
    </xf>
    <xf numFmtId="0" fontId="0" fillId="9" borderId="0" xfId="0" applyFill="1" applyAlignment="1" applyProtection="1">
      <alignment horizontal="center" vertical="center" wrapText="1"/>
      <protection locked="0"/>
    </xf>
    <xf numFmtId="0" fontId="15" fillId="5" borderId="21" xfId="0" applyFont="1" applyFill="1" applyBorder="1" applyAlignment="1" applyProtection="1">
      <alignment horizontal="center" vertical="center"/>
      <protection locked="0"/>
    </xf>
    <xf numFmtId="0" fontId="15" fillId="5" borderId="0" xfId="0" applyFont="1" applyFill="1" applyAlignment="1" applyProtection="1">
      <alignment horizontal="center" vertical="center"/>
      <protection locked="0"/>
    </xf>
    <xf numFmtId="0" fontId="14" fillId="0" borderId="23" xfId="0" applyFont="1" applyFill="1" applyBorder="1" applyAlignment="1" applyProtection="1">
      <alignment horizontal="center" vertical="center"/>
      <protection locked="0"/>
    </xf>
    <xf numFmtId="0" fontId="14" fillId="0" borderId="23" xfId="0" applyFont="1" applyFill="1" applyBorder="1" applyAlignment="1">
      <alignment horizontal="center" vertical="center"/>
    </xf>
    <xf numFmtId="0" fontId="15" fillId="0" borderId="0" xfId="0" applyFont="1" applyFill="1" applyAlignment="1">
      <alignment horizontal="center" vertical="center"/>
    </xf>
    <xf numFmtId="0" fontId="14" fillId="0" borderId="0" xfId="0" applyFont="1" applyFill="1" applyAlignment="1">
      <alignment horizontal="center" vertical="center" wrapText="1"/>
    </xf>
    <xf numFmtId="0" fontId="15" fillId="5" borderId="0" xfId="0" applyFont="1" applyFill="1" applyAlignment="1">
      <alignment horizontal="center" vertical="center"/>
    </xf>
    <xf numFmtId="0" fontId="15" fillId="5" borderId="21" xfId="0" applyFont="1" applyFill="1" applyBorder="1" applyAlignment="1">
      <alignment horizontal="center" vertical="center"/>
    </xf>
    <xf numFmtId="0" fontId="15" fillId="5" borderId="20" xfId="0" applyFont="1" applyFill="1" applyBorder="1" applyAlignment="1">
      <alignment horizontal="center" vertical="center"/>
    </xf>
    <xf numFmtId="0" fontId="15" fillId="5" borderId="17" xfId="0" applyFont="1" applyFill="1" applyBorder="1" applyAlignment="1">
      <alignment horizontal="center" vertical="center"/>
    </xf>
    <xf numFmtId="0" fontId="15" fillId="5" borderId="19" xfId="0" applyFont="1" applyFill="1" applyBorder="1" applyAlignment="1">
      <alignment horizontal="center" vertical="center"/>
    </xf>
    <xf numFmtId="0" fontId="34" fillId="27" borderId="1" xfId="0" applyFont="1" applyFill="1" applyBorder="1" applyAlignment="1">
      <alignment horizontal="center" vertical="center"/>
    </xf>
    <xf numFmtId="0" fontId="0" fillId="27" borderId="1" xfId="0" applyFill="1" applyBorder="1" applyAlignment="1">
      <alignment horizontal="center" vertical="center"/>
    </xf>
    <xf numFmtId="0" fontId="0" fillId="0" borderId="1" xfId="0" applyBorder="1" applyAlignment="1">
      <alignment horizontal="center" vertical="center" wrapText="1"/>
    </xf>
    <xf numFmtId="0" fontId="34" fillId="0" borderId="1" xfId="0" applyFont="1" applyBorder="1" applyAlignment="1">
      <alignment horizontal="center" vertical="center" wrapText="1"/>
    </xf>
    <xf numFmtId="0" fontId="46" fillId="0" borderId="51" xfId="0" applyFont="1" applyBorder="1" applyAlignment="1">
      <alignment horizontal="center" vertical="center"/>
    </xf>
    <xf numFmtId="0" fontId="46" fillId="0" borderId="52" xfId="0" applyFont="1" applyBorder="1" applyAlignment="1">
      <alignment horizontal="center" vertical="center"/>
    </xf>
    <xf numFmtId="0" fontId="46" fillId="0" borderId="53" xfId="0" applyFont="1" applyBorder="1" applyAlignment="1">
      <alignment horizontal="center" vertical="center"/>
    </xf>
    <xf numFmtId="0" fontId="46" fillId="0" borderId="54" xfId="0" applyFont="1" applyBorder="1" applyAlignment="1">
      <alignment horizontal="center" vertical="center"/>
    </xf>
    <xf numFmtId="0" fontId="46" fillId="0" borderId="0" xfId="0" applyFont="1" applyBorder="1" applyAlignment="1">
      <alignment horizontal="center" vertical="center"/>
    </xf>
    <xf numFmtId="0" fontId="46" fillId="0" borderId="55" xfId="0" applyFont="1" applyBorder="1" applyAlignment="1">
      <alignment horizontal="center" vertical="center"/>
    </xf>
    <xf numFmtId="0" fontId="46" fillId="0" borderId="56" xfId="0" applyFont="1" applyBorder="1" applyAlignment="1">
      <alignment horizontal="center" vertical="center"/>
    </xf>
    <xf numFmtId="0" fontId="46" fillId="0" borderId="57" xfId="0" applyFont="1" applyBorder="1" applyAlignment="1">
      <alignment horizontal="center" vertical="center"/>
    </xf>
    <xf numFmtId="0" fontId="46" fillId="0" borderId="58" xfId="0" applyFont="1" applyBorder="1" applyAlignment="1">
      <alignment horizontal="center" vertical="center"/>
    </xf>
    <xf numFmtId="0" fontId="44" fillId="0" borderId="4" xfId="0" applyFont="1" applyFill="1" applyBorder="1" applyAlignment="1">
      <alignment horizontal="center" vertical="center"/>
    </xf>
    <xf numFmtId="0" fontId="44" fillId="0" borderId="5" xfId="0" applyFont="1" applyFill="1" applyBorder="1" applyAlignment="1">
      <alignment horizontal="center" vertical="center"/>
    </xf>
    <xf numFmtId="0" fontId="44" fillId="0" borderId="6" xfId="0" applyFont="1" applyFill="1" applyBorder="1" applyAlignment="1">
      <alignment horizontal="center" vertical="center"/>
    </xf>
    <xf numFmtId="0" fontId="49" fillId="7" borderId="4" xfId="0" applyFont="1" applyFill="1" applyBorder="1" applyAlignment="1">
      <alignment horizontal="center" vertical="center"/>
    </xf>
    <xf numFmtId="0" fontId="49" fillId="7" borderId="5" xfId="0" applyFont="1" applyFill="1" applyBorder="1" applyAlignment="1">
      <alignment horizontal="center" vertical="center"/>
    </xf>
    <xf numFmtId="0" fontId="48" fillId="2" borderId="0" xfId="0" applyFont="1" applyFill="1" applyAlignment="1">
      <alignment horizontal="center" vertical="center"/>
    </xf>
    <xf numFmtId="0" fontId="49" fillId="7" borderId="6" xfId="0" applyFont="1" applyFill="1" applyBorder="1" applyAlignment="1">
      <alignment horizontal="center" vertical="center"/>
    </xf>
    <xf numFmtId="0" fontId="34" fillId="0" borderId="7" xfId="0" applyFont="1" applyFill="1" applyBorder="1" applyAlignment="1" applyProtection="1">
      <alignment horizontal="center" vertical="center" wrapText="1"/>
      <protection locked="0"/>
    </xf>
    <xf numFmtId="0" fontId="34" fillId="0" borderId="8" xfId="0" applyFont="1" applyFill="1" applyBorder="1" applyAlignment="1" applyProtection="1">
      <alignment horizontal="center" vertical="center" wrapText="1"/>
      <protection locked="0"/>
    </xf>
    <xf numFmtId="0" fontId="34" fillId="0" borderId="9" xfId="0" applyFont="1" applyFill="1" applyBorder="1" applyAlignment="1" applyProtection="1">
      <alignment horizontal="center" vertical="center" wrapText="1"/>
      <protection locked="0"/>
    </xf>
    <xf numFmtId="0" fontId="34" fillId="0" borderId="10" xfId="0" applyFont="1" applyFill="1" applyBorder="1" applyAlignment="1" applyProtection="1">
      <alignment horizontal="center" vertical="center" wrapText="1"/>
      <protection locked="0"/>
    </xf>
    <xf numFmtId="0" fontId="34" fillId="0" borderId="0" xfId="0" applyFont="1" applyFill="1" applyBorder="1" applyAlignment="1" applyProtection="1">
      <alignment horizontal="center" vertical="center" wrapText="1"/>
      <protection locked="0"/>
    </xf>
    <xf numFmtId="0" fontId="34" fillId="0" borderId="11" xfId="0" applyFont="1" applyFill="1" applyBorder="1" applyAlignment="1" applyProtection="1">
      <alignment horizontal="center" vertical="center" wrapText="1"/>
      <protection locked="0"/>
    </xf>
    <xf numFmtId="0" fontId="34" fillId="0" borderId="12" xfId="0" applyFont="1" applyFill="1" applyBorder="1" applyAlignment="1" applyProtection="1">
      <alignment horizontal="center" vertical="center" wrapText="1"/>
      <protection locked="0"/>
    </xf>
    <xf numFmtId="0" fontId="34" fillId="0" borderId="13" xfId="0" applyFont="1" applyFill="1" applyBorder="1" applyAlignment="1" applyProtection="1">
      <alignment horizontal="center" vertical="center" wrapText="1"/>
      <protection locked="0"/>
    </xf>
    <xf numFmtId="0" fontId="34" fillId="0" borderId="14" xfId="0" applyFont="1" applyFill="1" applyBorder="1" applyAlignment="1" applyProtection="1">
      <alignment horizontal="center" vertical="center" wrapText="1"/>
      <protection locked="0"/>
    </xf>
    <xf numFmtId="0" fontId="3" fillId="0" borderId="42" xfId="0" applyFont="1" applyBorder="1" applyAlignment="1">
      <alignment horizontal="left" vertical="center" wrapText="1"/>
    </xf>
    <xf numFmtId="0" fontId="3" fillId="0" borderId="42" xfId="0" applyFont="1" applyBorder="1" applyAlignment="1">
      <alignment horizontal="center" vertical="center"/>
    </xf>
    <xf numFmtId="0" fontId="3" fillId="0" borderId="39" xfId="0" applyFont="1" applyBorder="1" applyAlignment="1">
      <alignment horizontal="center" vertical="center"/>
    </xf>
    <xf numFmtId="0" fontId="3" fillId="3" borderId="42" xfId="0" applyFont="1" applyFill="1" applyBorder="1" applyAlignment="1">
      <alignment horizontal="center" vertical="center" wrapText="1"/>
    </xf>
    <xf numFmtId="0" fontId="3" fillId="3" borderId="39" xfId="0" applyFont="1" applyFill="1" applyBorder="1" applyAlignment="1">
      <alignment horizontal="center" vertical="center" wrapText="1"/>
    </xf>
    <xf numFmtId="0" fontId="3" fillId="3" borderId="42" xfId="0" applyFont="1" applyFill="1" applyBorder="1" applyAlignment="1">
      <alignment horizontal="center" vertical="center"/>
    </xf>
    <xf numFmtId="0" fontId="3" fillId="3" borderId="39" xfId="0" applyFont="1" applyFill="1" applyBorder="1" applyAlignment="1">
      <alignment horizontal="center" vertical="center"/>
    </xf>
    <xf numFmtId="0" fontId="2" fillId="2" borderId="36" xfId="0" applyFont="1" applyFill="1" applyBorder="1" applyAlignment="1">
      <alignment horizontal="center" vertical="center"/>
    </xf>
    <xf numFmtId="0" fontId="2" fillId="2" borderId="37" xfId="0" applyFont="1" applyFill="1" applyBorder="1" applyAlignment="1">
      <alignment horizontal="center" vertical="center"/>
    </xf>
    <xf numFmtId="0" fontId="2" fillId="2" borderId="38" xfId="0" applyFont="1" applyFill="1" applyBorder="1" applyAlignment="1">
      <alignment horizontal="center" vertical="center"/>
    </xf>
    <xf numFmtId="0" fontId="3" fillId="0" borderId="37" xfId="0" applyFont="1" applyBorder="1" applyAlignment="1">
      <alignment horizontal="justify" vertical="center"/>
    </xf>
    <xf numFmtId="0" fontId="14" fillId="0" borderId="7"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14" fillId="0" borderId="12" xfId="0" applyFont="1" applyFill="1" applyBorder="1" applyAlignment="1">
      <alignment horizontal="center" vertical="center" wrapText="1"/>
    </xf>
    <xf numFmtId="0" fontId="14" fillId="0" borderId="14" xfId="0" applyFont="1" applyFill="1" applyBorder="1" applyAlignment="1">
      <alignment horizontal="center" vertical="center" wrapText="1"/>
    </xf>
    <xf numFmtId="0" fontId="15" fillId="4" borderId="15"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5" fillId="4" borderId="4"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6" xfId="0" applyFont="1" applyFill="1" applyBorder="1" applyAlignment="1">
      <alignment horizontal="center" vertical="center" wrapText="1"/>
    </xf>
    <xf numFmtId="0" fontId="14" fillId="0" borderId="15"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15" fillId="4" borderId="12" xfId="0" applyFont="1" applyFill="1" applyBorder="1" applyAlignment="1">
      <alignment horizontal="center" vertical="center" wrapText="1"/>
    </xf>
    <xf numFmtId="0" fontId="15" fillId="4" borderId="14" xfId="0" applyFont="1" applyFill="1" applyBorder="1" applyAlignment="1">
      <alignment horizontal="center" vertical="center" wrapText="1"/>
    </xf>
    <xf numFmtId="0" fontId="13" fillId="4" borderId="4" xfId="0" applyFont="1" applyFill="1" applyBorder="1" applyAlignment="1">
      <alignment horizontal="center" vertical="center"/>
    </xf>
    <xf numFmtId="0" fontId="13" fillId="4" borderId="5" xfId="0" applyFont="1" applyFill="1" applyBorder="1" applyAlignment="1">
      <alignment horizontal="center" vertical="center"/>
    </xf>
    <xf numFmtId="0" fontId="13" fillId="4" borderId="6" xfId="0" applyFont="1" applyFill="1" applyBorder="1" applyAlignment="1">
      <alignment horizontal="center" vertical="center"/>
    </xf>
    <xf numFmtId="0" fontId="13" fillId="4" borderId="1" xfId="0" applyFont="1" applyFill="1" applyBorder="1" applyAlignment="1">
      <alignment horizontal="center" vertical="center"/>
    </xf>
    <xf numFmtId="0" fontId="40" fillId="0" borderId="4" xfId="0" applyFont="1" applyFill="1" applyBorder="1" applyAlignment="1">
      <alignment horizontal="center" vertical="center"/>
    </xf>
    <xf numFmtId="0" fontId="40" fillId="0" borderId="5" xfId="0" applyFont="1" applyFill="1" applyBorder="1" applyAlignment="1">
      <alignment horizontal="center" vertical="center"/>
    </xf>
    <xf numFmtId="0" fontId="40" fillId="0" borderId="6" xfId="0" applyFont="1" applyFill="1" applyBorder="1" applyAlignment="1">
      <alignment horizontal="center" vertical="center"/>
    </xf>
    <xf numFmtId="0" fontId="12" fillId="0" borderId="1" xfId="0" applyFont="1" applyFill="1" applyBorder="1" applyAlignment="1">
      <alignment horizontal="center" vertical="center" wrapText="1"/>
    </xf>
    <xf numFmtId="0" fontId="3" fillId="3" borderId="42" xfId="0" applyFont="1" applyFill="1" applyBorder="1" applyAlignment="1">
      <alignment horizontal="left" vertical="center" wrapText="1"/>
    </xf>
    <xf numFmtId="0" fontId="3" fillId="3" borderId="39" xfId="0" applyFont="1" applyFill="1" applyBorder="1" applyAlignment="1">
      <alignment horizontal="left" vertical="center" wrapText="1"/>
    </xf>
    <xf numFmtId="0" fontId="40" fillId="0" borderId="47" xfId="0" applyFont="1" applyFill="1" applyBorder="1" applyAlignment="1">
      <alignment horizontal="center" vertical="center" wrapText="1"/>
    </xf>
    <xf numFmtId="0" fontId="40" fillId="0" borderId="48" xfId="0" applyFont="1" applyFill="1" applyBorder="1" applyAlignment="1">
      <alignment horizontal="center" vertical="center" wrapText="1"/>
    </xf>
    <xf numFmtId="0" fontId="40" fillId="0" borderId="49" xfId="0" applyFont="1" applyFill="1" applyBorder="1" applyAlignment="1">
      <alignment horizontal="center" vertical="center" wrapText="1"/>
    </xf>
    <xf numFmtId="0" fontId="40" fillId="0" borderId="12" xfId="0" applyFont="1" applyFill="1" applyBorder="1" applyAlignment="1">
      <alignment horizontal="center" vertical="center" wrapText="1"/>
    </xf>
    <xf numFmtId="0" fontId="40" fillId="0" borderId="13" xfId="0" applyFont="1" applyFill="1" applyBorder="1" applyAlignment="1">
      <alignment horizontal="center" vertical="center" wrapText="1"/>
    </xf>
    <xf numFmtId="0" fontId="40" fillId="0" borderId="14" xfId="0" applyFont="1" applyFill="1" applyBorder="1" applyAlignment="1">
      <alignment horizontal="center" vertical="center" wrapText="1"/>
    </xf>
    <xf numFmtId="0" fontId="12" fillId="6" borderId="4" xfId="0" applyFont="1" applyFill="1" applyBorder="1" applyAlignment="1">
      <alignment horizontal="center" vertical="center"/>
    </xf>
    <xf numFmtId="0" fontId="12" fillId="6" borderId="6" xfId="0" applyFont="1" applyFill="1" applyBorder="1" applyAlignment="1">
      <alignment horizontal="center" vertical="center"/>
    </xf>
    <xf numFmtId="0" fontId="40" fillId="0" borderId="4" xfId="0" applyFont="1" applyFill="1" applyBorder="1" applyAlignment="1">
      <alignment horizontal="center" vertical="center" wrapText="1"/>
    </xf>
    <xf numFmtId="0" fontId="40" fillId="0" borderId="5" xfId="0" applyFont="1" applyFill="1" applyBorder="1" applyAlignment="1">
      <alignment horizontal="center" vertical="center" wrapText="1"/>
    </xf>
    <xf numFmtId="0" fontId="40" fillId="0" borderId="6" xfId="0" applyFont="1" applyFill="1" applyBorder="1" applyAlignment="1">
      <alignment horizontal="center" vertical="center" wrapText="1"/>
    </xf>
    <xf numFmtId="0" fontId="40" fillId="0" borderId="7" xfId="0" applyFont="1" applyFill="1" applyBorder="1" applyAlignment="1">
      <alignment horizontal="center" vertical="center" wrapText="1"/>
    </xf>
    <xf numFmtId="0" fontId="40" fillId="0" borderId="8" xfId="0" applyFont="1" applyFill="1" applyBorder="1" applyAlignment="1">
      <alignment horizontal="center" vertical="center" wrapText="1"/>
    </xf>
    <xf numFmtId="0" fontId="40" fillId="0" borderId="9"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45" xfId="0" applyFont="1" applyFill="1" applyBorder="1" applyAlignment="1">
      <alignment horizontal="center" vertical="center"/>
    </xf>
    <xf numFmtId="0" fontId="1" fillId="0" borderId="46" xfId="0" applyFont="1" applyFill="1" applyBorder="1" applyAlignment="1">
      <alignment horizontal="center" vertical="center"/>
    </xf>
    <xf numFmtId="0" fontId="3" fillId="0" borderId="40" xfId="0" applyFont="1" applyBorder="1" applyAlignment="1">
      <alignment horizontal="center" vertical="center" wrapText="1"/>
    </xf>
    <xf numFmtId="0" fontId="3" fillId="0" borderId="69" xfId="0" applyFont="1" applyBorder="1" applyAlignment="1">
      <alignment horizontal="center" vertical="center"/>
    </xf>
    <xf numFmtId="0" fontId="3" fillId="0" borderId="69" xfId="0" applyFont="1" applyBorder="1" applyAlignment="1">
      <alignment horizontal="left" vertical="center" wrapText="1"/>
    </xf>
    <xf numFmtId="0" fontId="26" fillId="9" borderId="59" xfId="0" applyNumberFormat="1" applyFont="1" applyFill="1" applyBorder="1" applyAlignment="1" applyProtection="1">
      <alignment horizontal="center" vertical="center"/>
      <protection locked="0"/>
    </xf>
  </cellXfs>
  <cellStyles count="1">
    <cellStyle name="常规" xfId="0" builtinId="0"/>
  </cellStyles>
  <dxfs count="25">
    <dxf>
      <font>
        <color rgb="FFFF0000"/>
      </font>
      <fill>
        <patternFill patternType="solid">
          <bgColor rgb="FF000000"/>
        </patternFill>
      </fill>
    </dxf>
    <dxf>
      <font>
        <color rgb="FFFF0000"/>
      </font>
      <fill>
        <patternFill patternType="solid">
          <bgColor rgb="FF000000"/>
        </patternFill>
      </fill>
    </dxf>
    <dxf>
      <font>
        <color rgb="FFFFFFFF"/>
      </font>
      <fill>
        <patternFill patternType="solid">
          <bgColor rgb="FFC91D32"/>
        </patternFill>
      </fill>
    </dxf>
    <dxf>
      <font>
        <color rgb="FF000000"/>
      </font>
      <fill>
        <patternFill patternType="solid">
          <bgColor rgb="FFF4B382"/>
        </patternFill>
      </fill>
    </dxf>
    <dxf>
      <font>
        <color theme="0"/>
      </font>
      <fill>
        <patternFill patternType="solid">
          <bgColor theme="9" tint="-0.249977111117893"/>
        </patternFill>
      </fill>
    </dxf>
    <dxf>
      <font>
        <color theme="0"/>
      </font>
      <fill>
        <patternFill patternType="solid">
          <bgColor theme="9" tint="0.39991454817346722"/>
        </patternFill>
      </fill>
    </dxf>
    <dxf>
      <fill>
        <patternFill patternType="solid">
          <bgColor theme="5" tint="0.39991454817346722"/>
        </patternFill>
      </fill>
    </dxf>
    <dxf>
      <fill>
        <patternFill patternType="solid">
          <bgColor theme="7" tint="0.59999389629810485"/>
        </patternFill>
      </fill>
    </dxf>
    <dxf>
      <fill>
        <patternFill patternType="solid">
          <fgColor rgb="FFD9E1F4"/>
          <bgColor rgb="FFD9E1F4"/>
        </patternFill>
      </fill>
      <border>
        <left/>
        <right/>
        <top/>
        <bottom style="thin">
          <color rgb="FF91AADF"/>
        </bottom>
      </border>
    </dxf>
    <dxf>
      <font>
        <b/>
      </font>
      <fill>
        <patternFill patternType="solid">
          <fgColor rgb="FFD9E1F4"/>
          <bgColor rgb="FFD9E1F4"/>
        </patternFill>
      </fill>
      <border>
        <left/>
        <right/>
        <top/>
        <bottom style="thin">
          <color rgb="FF91AADF"/>
        </bottom>
      </border>
    </dxf>
    <dxf>
      <font>
        <color rgb="FF000000"/>
      </font>
    </dxf>
    <dxf>
      <font>
        <color rgb="FF000000"/>
      </font>
      <border>
        <left/>
        <right/>
        <top/>
        <bottom style="thin">
          <color rgb="FF91AADF"/>
        </bottom>
      </border>
    </dxf>
    <dxf>
      <font>
        <b/>
        <color rgb="FF000000"/>
      </font>
    </dxf>
    <dxf>
      <font>
        <b/>
        <color rgb="FF000000"/>
      </font>
      <border>
        <left/>
        <right/>
        <top style="thin">
          <color rgb="FF4874CB"/>
        </top>
        <bottom style="thin">
          <color rgb="FF4874CB"/>
        </bottom>
      </border>
    </dxf>
    <dxf>
      <fill>
        <patternFill patternType="solid">
          <fgColor rgb="FFD9E1F4"/>
          <bgColor rgb="FFD9E1F4"/>
        </patternFill>
      </fill>
    </dxf>
    <dxf>
      <fill>
        <patternFill patternType="solid">
          <fgColor rgb="FFD9E1F4"/>
          <bgColor rgb="FFD9E1F4"/>
        </patternFill>
      </fill>
    </dxf>
    <dxf>
      <font>
        <b/>
        <color rgb="FF000000"/>
      </font>
      <fill>
        <patternFill patternType="solid">
          <fgColor rgb="FFD9E1F4"/>
          <bgColor rgb="FFD9E1F4"/>
        </patternFill>
      </fill>
      <border>
        <left/>
        <right/>
        <top style="thin">
          <color rgb="FF91AADF"/>
        </top>
        <bottom style="thin">
          <color rgb="FF91AADF"/>
        </bottom>
      </border>
    </dxf>
    <dxf>
      <font>
        <b/>
        <color rgb="FF000000"/>
      </font>
      <fill>
        <patternFill patternType="solid">
          <fgColor rgb="FFD9E1F4"/>
          <bgColor rgb="FFD9E1F4"/>
        </patternFill>
      </fill>
      <border>
        <left/>
        <right/>
        <top/>
        <bottom style="thin">
          <color rgb="FF91AADF"/>
        </bottom>
      </border>
    </dxf>
    <dxf>
      <fill>
        <patternFill patternType="solid">
          <fgColor rgb="FFD9E1F4"/>
          <bgColor rgb="FFD9E1F4"/>
        </patternFill>
      </fill>
    </dxf>
    <dxf>
      <fill>
        <patternFill patternType="solid">
          <fgColor rgb="FFD9E1F4"/>
          <bgColor rgb="FFD9E1F4"/>
        </patternFill>
      </fill>
    </dxf>
    <dxf>
      <font>
        <b/>
        <color rgb="FF000000"/>
      </font>
    </dxf>
    <dxf>
      <font>
        <b/>
        <color rgb="FF000000"/>
      </font>
    </dxf>
    <dxf>
      <font>
        <b/>
        <color rgb="FF000000"/>
      </font>
      <border>
        <left/>
        <right/>
        <top style="double">
          <color rgb="FF4874CB"/>
        </top>
        <bottom/>
      </border>
    </dxf>
    <dxf>
      <font>
        <b/>
        <color rgb="FFFFFFFF"/>
      </font>
      <fill>
        <patternFill patternType="solid">
          <fgColor rgb="FF4874CB"/>
          <bgColor rgb="FF4874CB"/>
        </patternFill>
      </fill>
    </dxf>
    <dxf>
      <font>
        <color rgb="FF000000"/>
      </font>
      <border>
        <left style="thin">
          <color rgb="FF4874CB"/>
        </left>
        <right style="thin">
          <color rgb="FF4874CB"/>
        </right>
        <top style="thin">
          <color rgb="FF4874CB"/>
        </top>
        <bottom style="thin">
          <color rgb="FF4874CB"/>
        </bottom>
        <horizontal style="thin">
          <color rgb="FF91AADF"/>
        </horizontal>
      </border>
    </dxf>
  </dxfs>
  <tableStyles count="2" defaultTableStyle="TableStylePreset3_Accent1 1" defaultPivotStyle="PivotStylePreset2_Accent1 1">
    <tableStyle name="TableStylePreset3_Accent1 1" pivot="0" count="7" xr9:uid="{6279EFF5-3BCF-47A8-82DC-485F958A0BA4}">
      <tableStyleElement type="wholeTable" dxfId="24"/>
      <tableStyleElement type="headerRow" dxfId="23"/>
      <tableStyleElement type="totalRow" dxfId="22"/>
      <tableStyleElement type="firstColumn" dxfId="21"/>
      <tableStyleElement type="lastColumn" dxfId="20"/>
      <tableStyleElement type="firstRowStripe" dxfId="19"/>
      <tableStyleElement type="firstColumnStripe" dxfId="18"/>
    </tableStyle>
    <tableStyle name="PivotStylePreset2_Accent1 1" table="0" count="10" xr9:uid="{71E6F4D8-EE23-4539-A028-A178DEB55256}">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0</xdr:row>
      <xdr:rowOff>0</xdr:rowOff>
    </xdr:from>
    <xdr:to>
      <xdr:col>27</xdr:col>
      <xdr:colOff>428625</xdr:colOff>
      <xdr:row>11</xdr:row>
      <xdr:rowOff>314325</xdr:rowOff>
    </xdr:to>
    <xdr:pic>
      <xdr:nvPicPr>
        <xdr:cNvPr id="2" name="图片 1">
          <a:extLst>
            <a:ext uri="{FF2B5EF4-FFF2-40B4-BE49-F238E27FC236}">
              <a16:creationId xmlns:a16="http://schemas.microsoft.com/office/drawing/2014/main" id="{527A90B1-7EDA-82BF-1552-1CA07A0F4A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96750" y="0"/>
          <a:ext cx="7867650" cy="3419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12</xdr:row>
      <xdr:rowOff>0</xdr:rowOff>
    </xdr:from>
    <xdr:to>
      <xdr:col>28</xdr:col>
      <xdr:colOff>476250</xdr:colOff>
      <xdr:row>22</xdr:row>
      <xdr:rowOff>123825</xdr:rowOff>
    </xdr:to>
    <xdr:pic>
      <xdr:nvPicPr>
        <xdr:cNvPr id="3" name="图片 2">
          <a:extLst>
            <a:ext uri="{FF2B5EF4-FFF2-40B4-BE49-F238E27FC236}">
              <a16:creationId xmlns:a16="http://schemas.microsoft.com/office/drawing/2014/main" id="{D42D788B-AB8D-D03E-0F5D-BAAAFBAC80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096750" y="3486150"/>
          <a:ext cx="8591550" cy="3419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0</xdr:row>
      <xdr:rowOff>0</xdr:rowOff>
    </xdr:from>
    <xdr:to>
      <xdr:col>24</xdr:col>
      <xdr:colOff>657225</xdr:colOff>
      <xdr:row>5</xdr:row>
      <xdr:rowOff>66675</xdr:rowOff>
    </xdr:to>
    <xdr:pic>
      <xdr:nvPicPr>
        <xdr:cNvPr id="2" name="图片 1">
          <a:extLst>
            <a:ext uri="{FF2B5EF4-FFF2-40B4-BE49-F238E27FC236}">
              <a16:creationId xmlns:a16="http://schemas.microsoft.com/office/drawing/2014/main" id="{4A104C24-3321-6215-8588-C1B81D5285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68575" y="0"/>
          <a:ext cx="8096250" cy="1400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6</xdr:row>
      <xdr:rowOff>0</xdr:rowOff>
    </xdr:from>
    <xdr:to>
      <xdr:col>25</xdr:col>
      <xdr:colOff>314325</xdr:colOff>
      <xdr:row>9</xdr:row>
      <xdr:rowOff>133350</xdr:rowOff>
    </xdr:to>
    <xdr:pic>
      <xdr:nvPicPr>
        <xdr:cNvPr id="4" name="图片 3">
          <a:extLst>
            <a:ext uri="{FF2B5EF4-FFF2-40B4-BE49-F238E27FC236}">
              <a16:creationId xmlns:a16="http://schemas.microsoft.com/office/drawing/2014/main" id="{C55FC645-A2AE-436E-9766-C6AE95287E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68575" y="1905000"/>
          <a:ext cx="8429625" cy="1847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0</xdr:colOff>
      <xdr:row>19</xdr:row>
      <xdr:rowOff>0</xdr:rowOff>
    </xdr:from>
    <xdr:to>
      <xdr:col>19</xdr:col>
      <xdr:colOff>542925</xdr:colOff>
      <xdr:row>26</xdr:row>
      <xdr:rowOff>142875</xdr:rowOff>
    </xdr:to>
    <xdr:pic>
      <xdr:nvPicPr>
        <xdr:cNvPr id="4" name="图片 3">
          <a:extLst>
            <a:ext uri="{FF2B5EF4-FFF2-40B4-BE49-F238E27FC236}">
              <a16:creationId xmlns:a16="http://schemas.microsoft.com/office/drawing/2014/main" id="{F55560D0-0FEA-00D0-CA6A-323B27272D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9575" y="7258050"/>
          <a:ext cx="5305425" cy="3400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27</xdr:row>
      <xdr:rowOff>0</xdr:rowOff>
    </xdr:from>
    <xdr:to>
      <xdr:col>19</xdr:col>
      <xdr:colOff>695325</xdr:colOff>
      <xdr:row>39</xdr:row>
      <xdr:rowOff>180975</xdr:rowOff>
    </xdr:to>
    <xdr:pic>
      <xdr:nvPicPr>
        <xdr:cNvPr id="5" name="图片 4">
          <a:extLst>
            <a:ext uri="{FF2B5EF4-FFF2-40B4-BE49-F238E27FC236}">
              <a16:creationId xmlns:a16="http://schemas.microsoft.com/office/drawing/2014/main" id="{31EB889B-06B0-29F0-64B6-EB576EB335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839575" y="10763250"/>
          <a:ext cx="5457825" cy="465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19</xdr:row>
      <xdr:rowOff>0</xdr:rowOff>
    </xdr:from>
    <xdr:to>
      <xdr:col>22</xdr:col>
      <xdr:colOff>1200150</xdr:colOff>
      <xdr:row>34</xdr:row>
      <xdr:rowOff>152400</xdr:rowOff>
    </xdr:to>
    <xdr:pic>
      <xdr:nvPicPr>
        <xdr:cNvPr id="6" name="图片 5">
          <a:extLst>
            <a:ext uri="{FF2B5EF4-FFF2-40B4-BE49-F238E27FC236}">
              <a16:creationId xmlns:a16="http://schemas.microsoft.com/office/drawing/2014/main" id="{4A6D5ED1-FBA6-0214-809F-CE69B69A8EF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411700" y="7258050"/>
          <a:ext cx="2819400" cy="7181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5"/>
  <sheetViews>
    <sheetView tabSelected="1" workbookViewId="0">
      <selection activeCell="K24" sqref="K24"/>
    </sheetView>
  </sheetViews>
  <sheetFormatPr defaultColWidth="9" defaultRowHeight="20.100000000000001" customHeight="1" x14ac:dyDescent="0.15"/>
  <cols>
    <col min="1" max="1" width="10.625" customWidth="1"/>
  </cols>
  <sheetData>
    <row r="1" spans="1:10" ht="20.100000000000001" customHeight="1" x14ac:dyDescent="0.15">
      <c r="A1" s="10" t="s">
        <v>0</v>
      </c>
      <c r="B1" s="253" t="s">
        <v>1</v>
      </c>
      <c r="C1" s="253"/>
      <c r="D1" s="10" t="s">
        <v>2</v>
      </c>
      <c r="E1" s="10"/>
    </row>
    <row r="2" spans="1:10" ht="20.100000000000001" customHeight="1" x14ac:dyDescent="0.15">
      <c r="A2" s="10" t="s">
        <v>3</v>
      </c>
      <c r="B2" s="10"/>
      <c r="C2" s="10" t="s">
        <v>4</v>
      </c>
      <c r="D2" s="10"/>
      <c r="E2" s="10"/>
    </row>
    <row r="3" spans="1:10" ht="20.100000000000001" customHeight="1" x14ac:dyDescent="0.15">
      <c r="A3" s="2" t="s">
        <v>5</v>
      </c>
      <c r="B3" s="2" t="s">
        <v>6</v>
      </c>
      <c r="C3" s="2" t="s">
        <v>7</v>
      </c>
      <c r="D3" s="2"/>
    </row>
    <row r="4" spans="1:10" ht="20.100000000000001" customHeight="1" x14ac:dyDescent="0.15">
      <c r="A4" s="11"/>
      <c r="B4" s="11"/>
      <c r="C4" s="11"/>
      <c r="D4" s="11"/>
      <c r="E4" s="11"/>
      <c r="F4" s="11"/>
      <c r="G4" s="11"/>
      <c r="H4" s="11"/>
      <c r="I4" s="11"/>
      <c r="J4" s="11"/>
    </row>
    <row r="5" spans="1:10" ht="20.100000000000001" customHeight="1" x14ac:dyDescent="0.15">
      <c r="A5" s="11"/>
      <c r="B5" s="12" t="s">
        <v>8</v>
      </c>
      <c r="C5" s="12"/>
      <c r="D5" s="11"/>
      <c r="E5" s="12" t="s">
        <v>9</v>
      </c>
      <c r="F5" s="12"/>
      <c r="G5" s="11"/>
      <c r="H5" s="12" t="s">
        <v>10</v>
      </c>
      <c r="I5" s="12"/>
      <c r="J5" s="11"/>
    </row>
    <row r="6" spans="1:10" ht="20.100000000000001" customHeight="1" x14ac:dyDescent="0.15">
      <c r="A6" s="11"/>
      <c r="B6" s="12" t="s">
        <v>11</v>
      </c>
      <c r="C6" s="12"/>
      <c r="D6" s="11"/>
      <c r="E6" s="12" t="s">
        <v>12</v>
      </c>
      <c r="F6" s="12"/>
      <c r="G6" s="11"/>
      <c r="H6" s="12" t="s">
        <v>13</v>
      </c>
      <c r="I6" s="12"/>
      <c r="J6" s="11"/>
    </row>
    <row r="7" spans="1:10" ht="20.100000000000001" customHeight="1" x14ac:dyDescent="0.15">
      <c r="A7" s="11"/>
      <c r="B7" s="254" t="s">
        <v>14</v>
      </c>
      <c r="C7" s="254"/>
      <c r="D7" s="254"/>
      <c r="E7" s="254"/>
      <c r="F7" s="254"/>
      <c r="G7" s="254"/>
      <c r="H7" s="254"/>
      <c r="I7" s="254"/>
      <c r="J7" s="11"/>
    </row>
    <row r="8" spans="1:10" ht="20.100000000000001" customHeight="1" x14ac:dyDescent="0.15">
      <c r="A8" t="s">
        <v>15</v>
      </c>
      <c r="C8" s="13" t="s">
        <v>497</v>
      </c>
      <c r="F8" s="13" t="s">
        <v>680</v>
      </c>
    </row>
    <row r="9" spans="1:10" ht="20.100000000000001" customHeight="1" x14ac:dyDescent="0.15">
      <c r="A9" t="s">
        <v>16</v>
      </c>
      <c r="C9" s="13" t="s">
        <v>470</v>
      </c>
      <c r="F9" s="13" t="s">
        <v>681</v>
      </c>
    </row>
    <row r="11" spans="1:10" ht="20.100000000000001" customHeight="1" x14ac:dyDescent="0.15">
      <c r="A11" t="s">
        <v>17</v>
      </c>
    </row>
    <row r="12" spans="1:10" ht="20.100000000000001" customHeight="1" x14ac:dyDescent="0.15">
      <c r="A12" s="256" t="s">
        <v>471</v>
      </c>
      <c r="B12" s="256"/>
      <c r="C12" s="256"/>
      <c r="D12" s="256"/>
      <c r="E12" s="256"/>
      <c r="F12" s="256"/>
      <c r="G12" s="256"/>
      <c r="H12" s="256"/>
      <c r="I12" s="256"/>
      <c r="J12" s="256"/>
    </row>
    <row r="13" spans="1:10" ht="20.100000000000001" customHeight="1" x14ac:dyDescent="0.15">
      <c r="A13" s="256"/>
      <c r="B13" s="256"/>
      <c r="C13" s="256"/>
      <c r="D13" s="256"/>
      <c r="E13" s="256"/>
      <c r="F13" s="256"/>
      <c r="G13" s="256"/>
      <c r="H13" s="256"/>
      <c r="I13" s="256"/>
      <c r="J13" s="256"/>
    </row>
    <row r="14" spans="1:10" ht="20.100000000000001" customHeight="1" x14ac:dyDescent="0.15">
      <c r="A14" s="256"/>
      <c r="B14" s="256"/>
      <c r="C14" s="256"/>
      <c r="D14" s="256"/>
      <c r="E14" s="256"/>
      <c r="F14" s="256"/>
      <c r="G14" s="256"/>
      <c r="H14" s="256"/>
      <c r="I14" s="256"/>
      <c r="J14" s="256"/>
    </row>
    <row r="15" spans="1:10" ht="20.100000000000001" customHeight="1" x14ac:dyDescent="0.15">
      <c r="A15" s="256"/>
      <c r="B15" s="256"/>
      <c r="C15" s="256"/>
      <c r="D15" s="256"/>
      <c r="E15" s="256"/>
      <c r="F15" s="256"/>
      <c r="G15" s="256"/>
      <c r="H15" s="256"/>
      <c r="I15" s="256"/>
      <c r="J15" s="256"/>
    </row>
    <row r="16" spans="1:10" ht="20.100000000000001" customHeight="1" x14ac:dyDescent="0.15">
      <c r="A16" s="256"/>
      <c r="B16" s="256"/>
      <c r="C16" s="256"/>
      <c r="D16" s="256"/>
      <c r="E16" s="256"/>
      <c r="F16" s="256"/>
      <c r="G16" s="256"/>
      <c r="H16" s="256"/>
      <c r="I16" s="256"/>
      <c r="J16" s="256"/>
    </row>
    <row r="17" spans="1:17" ht="20.100000000000001" customHeight="1" x14ac:dyDescent="0.15">
      <c r="A17" s="256" t="s">
        <v>807</v>
      </c>
      <c r="B17" s="256"/>
      <c r="C17" s="256"/>
      <c r="D17" s="256"/>
      <c r="E17" s="256"/>
      <c r="F17" s="256"/>
      <c r="G17" s="256"/>
      <c r="H17" s="256"/>
      <c r="I17" s="256"/>
      <c r="J17" s="256"/>
    </row>
    <row r="18" spans="1:17" ht="20.100000000000001" customHeight="1" x14ac:dyDescent="0.15">
      <c r="A18" s="256"/>
      <c r="B18" s="256"/>
      <c r="C18" s="256"/>
      <c r="D18" s="256"/>
      <c r="E18" s="256"/>
      <c r="F18" s="256"/>
      <c r="G18" s="256"/>
      <c r="H18" s="256"/>
      <c r="I18" s="256"/>
      <c r="J18" s="256"/>
    </row>
    <row r="19" spans="1:17" ht="20.100000000000001" customHeight="1" x14ac:dyDescent="0.15">
      <c r="A19" s="256"/>
      <c r="B19" s="256"/>
      <c r="C19" s="256"/>
      <c r="D19" s="256"/>
      <c r="E19" s="256"/>
      <c r="F19" s="256"/>
      <c r="G19" s="256"/>
      <c r="H19" s="256"/>
      <c r="I19" s="256"/>
      <c r="J19" s="256"/>
    </row>
    <row r="20" spans="1:17" ht="20.100000000000001" customHeight="1" x14ac:dyDescent="0.15">
      <c r="A20" s="256"/>
      <c r="B20" s="256"/>
      <c r="C20" s="256"/>
      <c r="D20" s="256"/>
      <c r="E20" s="256"/>
      <c r="F20" s="256"/>
      <c r="G20" s="256"/>
      <c r="H20" s="256"/>
      <c r="I20" s="256"/>
      <c r="J20" s="256"/>
      <c r="K20" s="2"/>
      <c r="L20" s="2"/>
      <c r="M20" s="2"/>
      <c r="N20" s="2"/>
      <c r="O20" s="2"/>
      <c r="P20" s="2"/>
      <c r="Q20" s="2"/>
    </row>
    <row r="21" spans="1:17" ht="20.100000000000001" customHeight="1" x14ac:dyDescent="0.15">
      <c r="A21" s="256"/>
      <c r="B21" s="256"/>
      <c r="C21" s="256"/>
      <c r="D21" s="256"/>
      <c r="E21" s="256"/>
      <c r="F21" s="256"/>
      <c r="G21" s="256"/>
      <c r="H21" s="256"/>
      <c r="I21" s="256"/>
      <c r="J21" s="256"/>
      <c r="K21" s="2"/>
      <c r="L21" s="2"/>
      <c r="M21" s="2"/>
      <c r="N21" s="2"/>
      <c r="O21" s="2"/>
      <c r="P21" s="2"/>
      <c r="Q21" s="2"/>
    </row>
    <row r="22" spans="1:17" ht="20.100000000000001" customHeight="1" x14ac:dyDescent="0.15">
      <c r="I22" s="2"/>
      <c r="J22" s="2"/>
      <c r="K22" s="2"/>
      <c r="L22" s="2"/>
      <c r="M22" s="2"/>
      <c r="N22" s="2"/>
      <c r="O22" s="2"/>
      <c r="P22" s="2"/>
      <c r="Q22" s="2"/>
    </row>
    <row r="23" spans="1:17" ht="20.100000000000001" customHeight="1" x14ac:dyDescent="0.15">
      <c r="A23" s="13" t="s">
        <v>472</v>
      </c>
      <c r="I23" s="255"/>
      <c r="J23" s="255"/>
      <c r="K23" s="255"/>
      <c r="L23" s="255"/>
      <c r="M23" s="255"/>
      <c r="N23" s="255"/>
      <c r="O23" s="255"/>
      <c r="P23" s="255"/>
      <c r="Q23" s="2"/>
    </row>
    <row r="24" spans="1:17" ht="39.950000000000003" customHeight="1" x14ac:dyDescent="0.15">
      <c r="A24" s="207">
        <v>46190</v>
      </c>
      <c r="B24" s="257" t="s">
        <v>847</v>
      </c>
      <c r="C24" s="258"/>
      <c r="D24" s="258"/>
      <c r="E24" s="258"/>
      <c r="F24" s="258"/>
      <c r="G24" s="258"/>
      <c r="H24" s="258"/>
      <c r="I24" s="258"/>
      <c r="J24" s="259"/>
    </row>
    <row r="25" spans="1:17" ht="20.100000000000001" customHeight="1" x14ac:dyDescent="0.15">
      <c r="A25" s="207">
        <v>46200</v>
      </c>
      <c r="B25" s="257" t="s">
        <v>848</v>
      </c>
      <c r="C25" s="258"/>
      <c r="D25" s="258"/>
      <c r="E25" s="258"/>
      <c r="F25" s="258"/>
      <c r="G25" s="258"/>
      <c r="H25" s="258"/>
      <c r="I25" s="258"/>
      <c r="J25" s="259"/>
    </row>
    <row r="26" spans="1:17" ht="39.950000000000003" customHeight="1" x14ac:dyDescent="0.15">
      <c r="A26" s="207">
        <v>46203</v>
      </c>
      <c r="B26" s="257" t="s">
        <v>849</v>
      </c>
      <c r="C26" s="260"/>
      <c r="D26" s="260"/>
      <c r="E26" s="260"/>
      <c r="F26" s="260"/>
      <c r="G26" s="260"/>
      <c r="H26" s="260"/>
      <c r="I26" s="260"/>
      <c r="J26" s="261"/>
    </row>
    <row r="27" spans="1:17" ht="20.100000000000001" customHeight="1" x14ac:dyDescent="0.15">
      <c r="A27" s="207">
        <v>46230</v>
      </c>
      <c r="B27" s="257" t="s">
        <v>850</v>
      </c>
      <c r="C27" s="260"/>
      <c r="D27" s="260"/>
      <c r="E27" s="260"/>
      <c r="F27" s="260"/>
      <c r="G27" s="260"/>
      <c r="H27" s="260"/>
      <c r="I27" s="260"/>
      <c r="J27" s="261"/>
    </row>
    <row r="28" spans="1:17" ht="20.100000000000001" customHeight="1" x14ac:dyDescent="0.15">
      <c r="A28" s="207">
        <v>46245</v>
      </c>
      <c r="B28" s="257" t="s">
        <v>865</v>
      </c>
      <c r="C28" s="260"/>
      <c r="D28" s="260"/>
      <c r="E28" s="260"/>
      <c r="F28" s="260"/>
      <c r="G28" s="260"/>
      <c r="H28" s="260"/>
      <c r="I28" s="260"/>
      <c r="J28" s="261"/>
    </row>
    <row r="29" spans="1:17" ht="20.100000000000001" customHeight="1" x14ac:dyDescent="0.15">
      <c r="A29" s="207"/>
      <c r="B29" s="257"/>
      <c r="C29" s="260"/>
      <c r="D29" s="260"/>
      <c r="E29" s="260"/>
      <c r="F29" s="260"/>
      <c r="G29" s="260"/>
      <c r="H29" s="260"/>
      <c r="I29" s="260"/>
      <c r="J29" s="261"/>
    </row>
    <row r="30" spans="1:17" ht="20.100000000000001" customHeight="1" x14ac:dyDescent="0.15">
      <c r="A30" s="207"/>
      <c r="B30" s="257"/>
      <c r="C30" s="260"/>
      <c r="D30" s="260"/>
      <c r="E30" s="260"/>
      <c r="F30" s="260"/>
      <c r="G30" s="260"/>
      <c r="H30" s="260"/>
      <c r="I30" s="260"/>
      <c r="J30" s="261"/>
    </row>
    <row r="31" spans="1:17" ht="20.100000000000001" customHeight="1" x14ac:dyDescent="0.15">
      <c r="A31" s="207"/>
      <c r="B31" s="257"/>
      <c r="C31" s="260"/>
      <c r="D31" s="260"/>
      <c r="E31" s="260"/>
      <c r="F31" s="260"/>
      <c r="G31" s="260"/>
      <c r="H31" s="260"/>
      <c r="I31" s="260"/>
      <c r="J31" s="261"/>
    </row>
    <row r="32" spans="1:17" ht="20.100000000000001" customHeight="1" x14ac:dyDescent="0.15">
      <c r="A32" s="207"/>
      <c r="B32" s="257"/>
      <c r="C32" s="260"/>
      <c r="D32" s="260"/>
      <c r="E32" s="260"/>
      <c r="F32" s="260"/>
      <c r="G32" s="260"/>
      <c r="H32" s="260"/>
      <c r="I32" s="260"/>
      <c r="J32" s="261"/>
    </row>
    <row r="33" spans="1:10" ht="20.100000000000001" customHeight="1" x14ac:dyDescent="0.15">
      <c r="A33" s="207"/>
      <c r="B33" s="257"/>
      <c r="C33" s="260"/>
      <c r="D33" s="260"/>
      <c r="E33" s="260"/>
      <c r="F33" s="260"/>
      <c r="G33" s="260"/>
      <c r="H33" s="260"/>
      <c r="I33" s="260"/>
      <c r="J33" s="261"/>
    </row>
    <row r="34" spans="1:10" ht="20.100000000000001" customHeight="1" x14ac:dyDescent="0.15">
      <c r="A34" s="207"/>
      <c r="B34" s="257"/>
      <c r="C34" s="260"/>
      <c r="D34" s="260"/>
      <c r="E34" s="260"/>
      <c r="F34" s="260"/>
      <c r="G34" s="260"/>
      <c r="H34" s="260"/>
      <c r="I34" s="260"/>
      <c r="J34" s="261"/>
    </row>
    <row r="35" spans="1:10" ht="20.100000000000001" customHeight="1" x14ac:dyDescent="0.15">
      <c r="A35" s="262"/>
      <c r="B35" s="262"/>
      <c r="C35" s="262"/>
      <c r="D35" s="262"/>
      <c r="E35" s="262"/>
      <c r="F35" s="262"/>
      <c r="G35" s="262"/>
      <c r="H35" s="262"/>
      <c r="I35" s="262"/>
      <c r="J35" s="262"/>
    </row>
  </sheetData>
  <mergeCells count="17">
    <mergeCell ref="B29:J29"/>
    <mergeCell ref="B30:J30"/>
    <mergeCell ref="A35:J35"/>
    <mergeCell ref="B31:J31"/>
    <mergeCell ref="B32:J32"/>
    <mergeCell ref="B33:J33"/>
    <mergeCell ref="B34:J34"/>
    <mergeCell ref="B24:J24"/>
    <mergeCell ref="B25:J25"/>
    <mergeCell ref="B26:J26"/>
    <mergeCell ref="B27:J27"/>
    <mergeCell ref="B28:J28"/>
    <mergeCell ref="B1:C1"/>
    <mergeCell ref="B7:I7"/>
    <mergeCell ref="I23:P23"/>
    <mergeCell ref="A12:J16"/>
    <mergeCell ref="A17:J21"/>
  </mergeCells>
  <phoneticPr fontId="3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57"/>
  <sheetViews>
    <sheetView zoomScaleNormal="100" workbookViewId="0">
      <selection activeCell="AD48" sqref="AD48"/>
    </sheetView>
  </sheetViews>
  <sheetFormatPr defaultColWidth="8.875" defaultRowHeight="15" customHeight="1" x14ac:dyDescent="0.15"/>
  <cols>
    <col min="1" max="1" width="2.625" style="17" customWidth="1"/>
    <col min="2" max="2" width="2.125" style="17" customWidth="1"/>
    <col min="3" max="3" width="9.125" style="17" customWidth="1"/>
    <col min="4" max="4" width="8.625" style="17" customWidth="1"/>
    <col min="5" max="5" width="6.625" style="17" customWidth="1"/>
    <col min="6" max="6" width="8.625" style="17" customWidth="1"/>
    <col min="7" max="7" width="2.125" style="17" customWidth="1"/>
    <col min="8" max="8" width="2.625" style="17" customWidth="1"/>
    <col min="9" max="9" width="2.125" style="17" customWidth="1"/>
    <col min="10" max="10" width="8.625" style="17" customWidth="1"/>
    <col min="11" max="11" width="5.625" style="17" customWidth="1"/>
    <col min="12" max="12" width="2.125" style="17" customWidth="1"/>
    <col min="13" max="13" width="2.625" style="17" customWidth="1"/>
    <col min="14" max="14" width="2.125" style="17" customWidth="1"/>
    <col min="15" max="16" width="5.625" style="32" customWidth="1"/>
    <col min="17" max="17" width="2.125" style="17" customWidth="1"/>
    <col min="18" max="18" width="2.625" style="17" customWidth="1"/>
    <col min="19" max="19" width="2.125" style="17" customWidth="1"/>
    <col min="20" max="20" width="4.625" style="17" customWidth="1"/>
    <col min="21" max="24" width="7.625" style="17" customWidth="1"/>
    <col min="25" max="25" width="2.125" style="17" customWidth="1"/>
    <col min="26" max="26" width="4.625" style="17" customWidth="1"/>
    <col min="27" max="30" width="7.625" style="17" customWidth="1"/>
    <col min="31" max="31" width="2.125" style="17" customWidth="1"/>
    <col min="32" max="32" width="4.625" style="17" customWidth="1"/>
    <col min="33" max="36" width="7.625" style="17" customWidth="1"/>
    <col min="37" max="37" width="2.125" style="17" customWidth="1"/>
    <col min="38" max="38" width="2.625" style="17" customWidth="1"/>
    <col min="39" max="39" width="2.125" style="17" customWidth="1"/>
    <col min="40" max="44" width="9.625" style="17" customWidth="1"/>
    <col min="45" max="45" width="2.125" style="17" customWidth="1"/>
    <col min="46" max="47" width="2.625" style="17" customWidth="1"/>
    <col min="48" max="55" width="10.625" style="125" customWidth="1"/>
    <col min="56" max="56" width="15.625" style="125" customWidth="1"/>
    <col min="57" max="57" width="10.625" style="125" customWidth="1"/>
    <col min="58" max="59" width="2.625" style="17" customWidth="1"/>
    <col min="60" max="16384" width="8.875" style="17"/>
  </cols>
  <sheetData>
    <row r="1" spans="1:59" ht="15" customHeight="1" x14ac:dyDescent="0.15">
      <c r="A1" s="14"/>
      <c r="B1" s="14"/>
      <c r="C1" s="14"/>
      <c r="D1" s="14"/>
      <c r="E1" s="14"/>
      <c r="F1" s="14"/>
      <c r="G1" s="14"/>
      <c r="H1" s="14"/>
      <c r="I1" s="14"/>
      <c r="J1" s="14"/>
      <c r="K1" s="14"/>
      <c r="L1" s="14"/>
      <c r="M1" s="14"/>
      <c r="N1" s="14"/>
      <c r="O1" s="15"/>
      <c r="P1" s="15"/>
      <c r="Q1" s="14"/>
      <c r="R1" s="14"/>
      <c r="S1" s="14"/>
      <c r="T1" s="14"/>
      <c r="U1" s="14"/>
      <c r="V1" s="14"/>
      <c r="W1" s="14"/>
      <c r="X1" s="14"/>
      <c r="Y1" s="14"/>
      <c r="Z1" s="14"/>
      <c r="AA1" s="14"/>
      <c r="AB1" s="14"/>
      <c r="AC1" s="14"/>
      <c r="AD1" s="14"/>
      <c r="AE1" s="16"/>
      <c r="AF1" s="16"/>
      <c r="AG1" s="16"/>
      <c r="AH1" s="16"/>
      <c r="AI1" s="16"/>
      <c r="AJ1" s="16"/>
      <c r="AK1" s="16"/>
      <c r="AL1" s="14"/>
      <c r="AM1" s="14"/>
      <c r="AN1" s="14"/>
      <c r="AO1" s="14"/>
      <c r="AP1" s="14"/>
      <c r="AQ1" s="14"/>
      <c r="AR1" s="14"/>
      <c r="AS1" s="14"/>
      <c r="AT1" s="14"/>
      <c r="AU1" s="14"/>
      <c r="AV1" s="126"/>
      <c r="AW1" s="126"/>
      <c r="AX1" s="126"/>
      <c r="AY1" s="126"/>
      <c r="AZ1" s="126"/>
      <c r="BA1" s="126"/>
      <c r="BB1" s="126"/>
      <c r="BC1" s="126"/>
      <c r="BD1" s="126"/>
      <c r="BE1" s="126"/>
      <c r="BF1" s="14"/>
      <c r="BG1" s="14"/>
    </row>
    <row r="2" spans="1:59" ht="15" customHeight="1" x14ac:dyDescent="0.15">
      <c r="A2" s="14"/>
      <c r="B2" s="18"/>
      <c r="C2" s="154" t="s">
        <v>18</v>
      </c>
      <c r="D2" s="14"/>
      <c r="E2" s="14"/>
      <c r="F2" s="14"/>
      <c r="G2" s="14"/>
      <c r="H2" s="14"/>
      <c r="I2" s="18"/>
      <c r="J2" s="154" t="s">
        <v>19</v>
      </c>
      <c r="K2" s="14"/>
      <c r="L2" s="14"/>
      <c r="M2" s="19"/>
      <c r="N2" s="18"/>
      <c r="O2" s="154" t="s">
        <v>713</v>
      </c>
      <c r="P2" s="155" t="s">
        <v>714</v>
      </c>
      <c r="Q2" s="14"/>
      <c r="R2" s="20"/>
      <c r="S2" s="18"/>
      <c r="T2" s="18" t="s">
        <v>20</v>
      </c>
      <c r="U2" s="14"/>
      <c r="V2" s="20"/>
      <c r="W2" s="20"/>
      <c r="X2" s="20"/>
      <c r="Y2" s="20"/>
      <c r="Z2" s="20"/>
      <c r="AA2" s="20"/>
      <c r="AB2" s="14"/>
      <c r="AC2" s="14"/>
      <c r="AD2" s="14"/>
      <c r="AE2" s="16"/>
      <c r="AF2" s="299" t="s">
        <v>21</v>
      </c>
      <c r="AG2" s="300"/>
      <c r="AH2" s="217" t="s">
        <v>22</v>
      </c>
      <c r="AI2" s="217" t="s">
        <v>23</v>
      </c>
      <c r="AJ2" s="218" t="s">
        <v>24</v>
      </c>
      <c r="AK2" s="16"/>
      <c r="AL2" s="14"/>
      <c r="AM2" s="298" t="s">
        <v>25</v>
      </c>
      <c r="AN2" s="298"/>
      <c r="AO2" s="14"/>
      <c r="AP2" s="14"/>
      <c r="AQ2" s="14"/>
      <c r="AR2" s="14"/>
      <c r="AS2" s="14"/>
      <c r="AT2" s="14"/>
      <c r="AU2" s="159"/>
      <c r="AV2" s="122" t="s">
        <v>740</v>
      </c>
      <c r="AW2" s="126"/>
      <c r="AX2" s="126"/>
      <c r="AY2" s="126"/>
      <c r="AZ2" s="126"/>
      <c r="BA2" s="126"/>
      <c r="BB2" s="126"/>
      <c r="BC2" s="126"/>
      <c r="BD2" s="126"/>
      <c r="BE2" s="126"/>
      <c r="BF2" s="14"/>
      <c r="BG2" s="14"/>
    </row>
    <row r="3" spans="1:59" ht="15" customHeight="1" x14ac:dyDescent="0.15">
      <c r="A3" s="14"/>
      <c r="B3" s="16"/>
      <c r="C3" s="16"/>
      <c r="D3" s="16"/>
      <c r="E3" s="16"/>
      <c r="F3" s="16"/>
      <c r="G3" s="16"/>
      <c r="H3" s="14"/>
      <c r="I3" s="16"/>
      <c r="J3" s="16"/>
      <c r="K3" s="16"/>
      <c r="L3" s="21"/>
      <c r="M3" s="14"/>
      <c r="N3" s="16"/>
      <c r="O3" s="22"/>
      <c r="P3" s="22"/>
      <c r="Q3" s="21"/>
      <c r="R3" s="20"/>
      <c r="S3" s="21"/>
      <c r="T3" s="21"/>
      <c r="U3" s="21"/>
      <c r="V3" s="21"/>
      <c r="W3" s="21"/>
      <c r="X3" s="21"/>
      <c r="Y3" s="21"/>
      <c r="Z3" s="252" t="s">
        <v>26</v>
      </c>
      <c r="AA3" s="21"/>
      <c r="AB3" s="16"/>
      <c r="AC3" s="16"/>
      <c r="AD3" s="16"/>
      <c r="AE3" s="16"/>
      <c r="AF3" s="268" t="s">
        <v>27</v>
      </c>
      <c r="AG3" s="269"/>
      <c r="AH3" s="212"/>
      <c r="AI3" s="210">
        <v>2</v>
      </c>
      <c r="AJ3" s="219">
        <f>AH3+AI3+$P$8</f>
        <v>0</v>
      </c>
      <c r="AK3" s="16"/>
      <c r="AL3" s="14"/>
      <c r="AM3" s="16"/>
      <c r="AN3" s="16"/>
      <c r="AO3" s="16"/>
      <c r="AP3" s="16"/>
      <c r="AQ3" s="16"/>
      <c r="AR3" s="16"/>
      <c r="AS3" s="16"/>
      <c r="AT3" s="14"/>
      <c r="AU3" s="21"/>
      <c r="AV3" s="21"/>
      <c r="AW3" s="21"/>
      <c r="AX3" s="21"/>
      <c r="AY3" s="21"/>
      <c r="AZ3" s="21"/>
      <c r="BA3" s="21"/>
      <c r="BB3" s="21"/>
      <c r="BC3" s="21"/>
      <c r="BD3" s="21"/>
      <c r="BE3" s="21"/>
      <c r="BF3" s="16"/>
      <c r="BG3" s="14"/>
    </row>
    <row r="4" spans="1:59" ht="15" customHeight="1" x14ac:dyDescent="0.15">
      <c r="A4" s="14"/>
      <c r="B4" s="22"/>
      <c r="C4" s="266"/>
      <c r="D4" s="266"/>
      <c r="E4" s="266"/>
      <c r="F4" s="266"/>
      <c r="G4" s="21"/>
      <c r="H4" s="14"/>
      <c r="I4" s="16"/>
      <c r="J4" s="275" t="s">
        <v>30</v>
      </c>
      <c r="K4" s="280"/>
      <c r="L4" s="21"/>
      <c r="M4" s="14"/>
      <c r="N4" s="16"/>
      <c r="O4" s="266"/>
      <c r="P4" s="279">
        <f>K4+O4</f>
        <v>0</v>
      </c>
      <c r="Q4" s="21"/>
      <c r="R4" s="20"/>
      <c r="S4" s="21"/>
      <c r="T4" s="299" t="s">
        <v>31</v>
      </c>
      <c r="U4" s="300"/>
      <c r="V4" s="217" t="s">
        <v>22</v>
      </c>
      <c r="W4" s="217" t="s">
        <v>23</v>
      </c>
      <c r="X4" s="218" t="s">
        <v>24</v>
      </c>
      <c r="Y4" s="21"/>
      <c r="Z4" s="299" t="s">
        <v>32</v>
      </c>
      <c r="AA4" s="300"/>
      <c r="AB4" s="217" t="s">
        <v>22</v>
      </c>
      <c r="AC4" s="217" t="s">
        <v>23</v>
      </c>
      <c r="AD4" s="218" t="s">
        <v>24</v>
      </c>
      <c r="AE4" s="21"/>
      <c r="AF4" s="268" t="s">
        <v>33</v>
      </c>
      <c r="AG4" s="269"/>
      <c r="AH4" s="212"/>
      <c r="AI4" s="210">
        <v>2</v>
      </c>
      <c r="AJ4" s="219">
        <f>AH4+AI4+$P$8</f>
        <v>0</v>
      </c>
      <c r="AK4" s="16"/>
      <c r="AL4" s="14"/>
      <c r="AM4" s="16"/>
      <c r="AN4" s="231" t="s">
        <v>498</v>
      </c>
      <c r="AO4" s="275" t="s">
        <v>34</v>
      </c>
      <c r="AP4" s="275"/>
      <c r="AQ4" s="275"/>
      <c r="AR4" s="275"/>
      <c r="AS4" s="16"/>
      <c r="AT4" s="14"/>
      <c r="AU4" s="21"/>
      <c r="AV4" s="275" t="s">
        <v>48</v>
      </c>
      <c r="AW4" s="275"/>
      <c r="AX4" s="231" t="s">
        <v>725</v>
      </c>
      <c r="AY4" s="231" t="s">
        <v>744</v>
      </c>
      <c r="AZ4" s="231" t="s">
        <v>795</v>
      </c>
      <c r="BA4" s="231" t="s">
        <v>727</v>
      </c>
      <c r="BB4" s="231" t="s">
        <v>671</v>
      </c>
      <c r="BC4" s="231" t="s">
        <v>49</v>
      </c>
      <c r="BD4" s="231" t="s">
        <v>726</v>
      </c>
      <c r="BE4" s="231" t="s">
        <v>52</v>
      </c>
      <c r="BF4" s="16"/>
      <c r="BG4" s="14"/>
    </row>
    <row r="5" spans="1:59" ht="15" customHeight="1" x14ac:dyDescent="0.15">
      <c r="A5" s="14"/>
      <c r="B5" s="22"/>
      <c r="C5" s="266"/>
      <c r="D5" s="266"/>
      <c r="E5" s="266"/>
      <c r="F5" s="266"/>
      <c r="G5" s="21"/>
      <c r="H5" s="14"/>
      <c r="I5" s="16"/>
      <c r="J5" s="275"/>
      <c r="K5" s="280"/>
      <c r="L5" s="21"/>
      <c r="M5" s="14"/>
      <c r="N5" s="16"/>
      <c r="O5" s="266"/>
      <c r="P5" s="279"/>
      <c r="Q5" s="21"/>
      <c r="R5" s="20"/>
      <c r="S5" s="23"/>
      <c r="T5" s="268" t="s">
        <v>35</v>
      </c>
      <c r="U5" s="269"/>
      <c r="V5" s="209"/>
      <c r="W5" s="210">
        <v>2</v>
      </c>
      <c r="X5" s="219">
        <f>V5+W5+$P$14</f>
        <v>2</v>
      </c>
      <c r="Y5" s="23"/>
      <c r="Z5" s="268" t="s">
        <v>36</v>
      </c>
      <c r="AA5" s="269"/>
      <c r="AB5" s="212"/>
      <c r="AC5" s="213"/>
      <c r="AD5" s="219">
        <f t="shared" ref="AD5:AD15" si="0">AC5+AB5+$P$4</f>
        <v>0</v>
      </c>
      <c r="AE5" s="21"/>
      <c r="AF5" s="230" t="s">
        <v>37</v>
      </c>
      <c r="AG5" s="216" t="s">
        <v>38</v>
      </c>
      <c r="AH5" s="212"/>
      <c r="AI5" s="213"/>
      <c r="AJ5" s="219">
        <f>AH5+ROUNDDOWN(AI5/2,0)+$P$8</f>
        <v>-2</v>
      </c>
      <c r="AK5" s="16"/>
      <c r="AL5" s="14"/>
      <c r="AM5" s="16"/>
      <c r="AN5" s="301"/>
      <c r="AO5" s="303"/>
      <c r="AP5" s="304"/>
      <c r="AQ5" s="304"/>
      <c r="AR5" s="304"/>
      <c r="AS5" s="16"/>
      <c r="AT5" s="14"/>
      <c r="AU5" s="21"/>
      <c r="AV5" s="264" t="str">
        <f>武器卡!C5</f>
        <v>达拉理工“吠舍”自动手枪</v>
      </c>
      <c r="AW5" s="264"/>
      <c r="AX5" s="274" t="str">
        <f>武器卡!D5</f>
        <v>低</v>
      </c>
      <c r="AY5" s="264">
        <f>武器卡!F5</f>
        <v>3</v>
      </c>
      <c r="AZ5" s="278"/>
      <c r="BA5" s="274">
        <f>武器卡!H5</f>
        <v>-1</v>
      </c>
      <c r="BB5" s="274" t="str">
        <f>武器卡!K5</f>
        <v>4x8</v>
      </c>
      <c r="BC5" s="264" t="str">
        <f>武器卡!L5</f>
        <v>2D6</v>
      </c>
      <c r="BD5" s="274" t="str">
        <f>武器卡!G5</f>
        <v>20（.22lr）</v>
      </c>
      <c r="BE5" s="274" t="str">
        <f>武器卡!M5</f>
        <v>手枪</v>
      </c>
      <c r="BF5" s="16"/>
      <c r="BG5" s="14"/>
    </row>
    <row r="6" spans="1:59" ht="15" customHeight="1" x14ac:dyDescent="0.15">
      <c r="A6" s="14"/>
      <c r="B6" s="22"/>
      <c r="C6" s="266"/>
      <c r="D6" s="266"/>
      <c r="E6" s="266"/>
      <c r="F6" s="266"/>
      <c r="G6" s="21"/>
      <c r="H6" s="14"/>
      <c r="I6" s="16"/>
      <c r="J6" s="275" t="s">
        <v>39</v>
      </c>
      <c r="K6" s="280"/>
      <c r="L6" s="21"/>
      <c r="M6" s="14"/>
      <c r="N6" s="16"/>
      <c r="O6" s="266"/>
      <c r="P6" s="279">
        <f>K6+O6-BB20</f>
        <v>-2</v>
      </c>
      <c r="Q6" s="21"/>
      <c r="R6" s="20"/>
      <c r="S6" s="21"/>
      <c r="T6" s="268" t="s">
        <v>40</v>
      </c>
      <c r="U6" s="269"/>
      <c r="V6" s="212"/>
      <c r="W6" s="213"/>
      <c r="X6" s="219">
        <f>V6+W6+$P$4</f>
        <v>0</v>
      </c>
      <c r="Y6" s="21"/>
      <c r="Z6" s="268" t="s">
        <v>41</v>
      </c>
      <c r="AA6" s="269"/>
      <c r="AB6" s="212"/>
      <c r="AC6" s="213"/>
      <c r="AD6" s="219">
        <f t="shared" si="0"/>
        <v>0</v>
      </c>
      <c r="AE6" s="21"/>
      <c r="AF6" s="230" t="s">
        <v>37</v>
      </c>
      <c r="AG6" s="216" t="s">
        <v>38</v>
      </c>
      <c r="AH6" s="212"/>
      <c r="AI6" s="213"/>
      <c r="AJ6" s="219">
        <f>AH6+ROUNDDOWN(AI6/2,0)+$P$8</f>
        <v>-2</v>
      </c>
      <c r="AK6" s="16"/>
      <c r="AL6" s="14"/>
      <c r="AM6" s="16"/>
      <c r="AN6" s="302"/>
      <c r="AO6" s="304"/>
      <c r="AP6" s="304"/>
      <c r="AQ6" s="304"/>
      <c r="AR6" s="304"/>
      <c r="AS6" s="16"/>
      <c r="AT6" s="14"/>
      <c r="AU6" s="21"/>
      <c r="AV6" s="264"/>
      <c r="AW6" s="264"/>
      <c r="AX6" s="274"/>
      <c r="AY6" s="264"/>
      <c r="AZ6" s="278"/>
      <c r="BA6" s="274"/>
      <c r="BB6" s="274"/>
      <c r="BC6" s="264"/>
      <c r="BD6" s="274"/>
      <c r="BE6" s="274"/>
      <c r="BF6" s="16"/>
      <c r="BG6" s="14"/>
    </row>
    <row r="7" spans="1:59" ht="15" customHeight="1" x14ac:dyDescent="0.15">
      <c r="A7" s="14"/>
      <c r="B7" s="22"/>
      <c r="C7" s="266"/>
      <c r="D7" s="266"/>
      <c r="E7" s="266"/>
      <c r="F7" s="266"/>
      <c r="G7" s="21"/>
      <c r="H7" s="14"/>
      <c r="I7" s="16"/>
      <c r="J7" s="275"/>
      <c r="K7" s="280"/>
      <c r="L7" s="21"/>
      <c r="M7" s="14"/>
      <c r="N7" s="16"/>
      <c r="O7" s="266"/>
      <c r="P7" s="279"/>
      <c r="Q7" s="21"/>
      <c r="R7" s="20"/>
      <c r="S7" s="21"/>
      <c r="T7" s="268" t="s">
        <v>42</v>
      </c>
      <c r="U7" s="269"/>
      <c r="V7" s="212"/>
      <c r="W7" s="213"/>
      <c r="X7" s="219">
        <f>V7+W7+$P$4</f>
        <v>0</v>
      </c>
      <c r="Y7" s="21"/>
      <c r="Z7" s="268" t="s">
        <v>43</v>
      </c>
      <c r="AA7" s="269"/>
      <c r="AB7" s="212"/>
      <c r="AC7" s="213"/>
      <c r="AD7" s="219">
        <f t="shared" si="0"/>
        <v>0</v>
      </c>
      <c r="AE7" s="21"/>
      <c r="AF7" s="230" t="s">
        <v>37</v>
      </c>
      <c r="AG7" s="216" t="s">
        <v>38</v>
      </c>
      <c r="AH7" s="212"/>
      <c r="AI7" s="213"/>
      <c r="AJ7" s="219">
        <f>AH7+ROUNDDOWN(AI7/2,0)+$P$8</f>
        <v>-2</v>
      </c>
      <c r="AK7" s="16"/>
      <c r="AL7" s="14"/>
      <c r="AM7" s="16"/>
      <c r="AN7" s="302"/>
      <c r="AO7" s="304"/>
      <c r="AP7" s="304"/>
      <c r="AQ7" s="304"/>
      <c r="AR7" s="304"/>
      <c r="AS7" s="16"/>
      <c r="AT7" s="14"/>
      <c r="AU7" s="21"/>
      <c r="AV7" s="264" t="str">
        <f>武器卡!C15</f>
        <v>单镰</v>
      </c>
      <c r="AW7" s="264"/>
      <c r="AX7" s="274" t="str">
        <f>武器卡!D15</f>
        <v>中</v>
      </c>
      <c r="AY7" s="264">
        <f>武器卡!F15</f>
        <v>2</v>
      </c>
      <c r="AZ7" s="278"/>
      <c r="BA7" s="274" t="str">
        <f>武器卡!H15</f>
        <v>2+1</v>
      </c>
      <c r="BB7" s="274">
        <f>武器卡!K15</f>
        <v>0</v>
      </c>
      <c r="BC7" s="264" t="str">
        <f>武器卡!L15</f>
        <v>1D6</v>
      </c>
      <c r="BD7" s="274">
        <f>武器卡!G15</f>
        <v>0</v>
      </c>
      <c r="BE7" s="274" t="str">
        <f>武器卡!M15</f>
        <v>全威力</v>
      </c>
      <c r="BF7" s="16"/>
      <c r="BG7" s="14"/>
    </row>
    <row r="8" spans="1:59" ht="15" customHeight="1" x14ac:dyDescent="0.15">
      <c r="A8" s="14"/>
      <c r="B8" s="22"/>
      <c r="C8" s="266"/>
      <c r="D8" s="266"/>
      <c r="E8" s="266"/>
      <c r="F8" s="266"/>
      <c r="G8" s="21"/>
      <c r="H8" s="14"/>
      <c r="I8" s="16"/>
      <c r="J8" s="275" t="s">
        <v>44</v>
      </c>
      <c r="K8" s="280"/>
      <c r="L8" s="21"/>
      <c r="M8" s="14"/>
      <c r="N8" s="16"/>
      <c r="O8" s="266"/>
      <c r="P8" s="279">
        <f>K8+O8-BB20</f>
        <v>-2</v>
      </c>
      <c r="Q8" s="21"/>
      <c r="R8" s="20"/>
      <c r="S8" s="21"/>
      <c r="T8" s="268" t="s">
        <v>45</v>
      </c>
      <c r="U8" s="269"/>
      <c r="V8" s="212"/>
      <c r="W8" s="210">
        <v>2</v>
      </c>
      <c r="X8" s="219">
        <f>V8+W8+$P$4</f>
        <v>2</v>
      </c>
      <c r="Y8" s="21"/>
      <c r="Z8" s="268" t="s">
        <v>46</v>
      </c>
      <c r="AA8" s="269"/>
      <c r="AB8" s="212"/>
      <c r="AC8" s="213"/>
      <c r="AD8" s="219">
        <f t="shared" si="0"/>
        <v>0</v>
      </c>
      <c r="AE8" s="21"/>
      <c r="AF8" s="268" t="s">
        <v>47</v>
      </c>
      <c r="AG8" s="269"/>
      <c r="AH8" s="212"/>
      <c r="AI8" s="213"/>
      <c r="AJ8" s="219">
        <f>AH8+AI8+$P$8</f>
        <v>-2</v>
      </c>
      <c r="AK8" s="16"/>
      <c r="AL8" s="14"/>
      <c r="AM8" s="16"/>
      <c r="AN8" s="273"/>
      <c r="AO8" s="263"/>
      <c r="AP8" s="263"/>
      <c r="AQ8" s="263"/>
      <c r="AR8" s="263"/>
      <c r="AS8" s="16"/>
      <c r="AT8" s="14"/>
      <c r="AU8" s="16"/>
      <c r="AV8" s="264"/>
      <c r="AW8" s="264"/>
      <c r="AX8" s="274"/>
      <c r="AY8" s="264"/>
      <c r="AZ8" s="278"/>
      <c r="BA8" s="274"/>
      <c r="BB8" s="274"/>
      <c r="BC8" s="264"/>
      <c r="BD8" s="274"/>
      <c r="BE8" s="274"/>
      <c r="BF8" s="16"/>
      <c r="BG8" s="14"/>
    </row>
    <row r="9" spans="1:59" ht="15" customHeight="1" x14ac:dyDescent="0.15">
      <c r="A9" s="14"/>
      <c r="B9" s="22"/>
      <c r="C9" s="266"/>
      <c r="D9" s="266"/>
      <c r="E9" s="266"/>
      <c r="F9" s="266"/>
      <c r="G9" s="21"/>
      <c r="H9" s="14"/>
      <c r="I9" s="16"/>
      <c r="J9" s="275"/>
      <c r="K9" s="280"/>
      <c r="L9" s="21"/>
      <c r="M9" s="14"/>
      <c r="N9" s="16"/>
      <c r="O9" s="266"/>
      <c r="P9" s="279"/>
      <c r="Q9" s="21"/>
      <c r="R9" s="20"/>
      <c r="S9" s="21"/>
      <c r="T9" s="268" t="s">
        <v>53</v>
      </c>
      <c r="U9" s="269"/>
      <c r="V9" s="212"/>
      <c r="W9" s="213"/>
      <c r="X9" s="219">
        <f>V9+W9+$P$4</f>
        <v>0</v>
      </c>
      <c r="Y9" s="21"/>
      <c r="Z9" s="268" t="s">
        <v>54</v>
      </c>
      <c r="AA9" s="269"/>
      <c r="AB9" s="212"/>
      <c r="AC9" s="213"/>
      <c r="AD9" s="219">
        <f t="shared" si="0"/>
        <v>0</v>
      </c>
      <c r="AE9" s="21"/>
      <c r="AF9" s="296" t="s">
        <v>55</v>
      </c>
      <c r="AG9" s="297"/>
      <c r="AH9" s="208" t="s">
        <v>22</v>
      </c>
      <c r="AI9" s="208" t="s">
        <v>23</v>
      </c>
      <c r="AJ9" s="220" t="s">
        <v>24</v>
      </c>
      <c r="AK9" s="16"/>
      <c r="AL9" s="14"/>
      <c r="AM9" s="16"/>
      <c r="AN9" s="273"/>
      <c r="AO9" s="263"/>
      <c r="AP9" s="263"/>
      <c r="AQ9" s="263"/>
      <c r="AR9" s="263"/>
      <c r="AS9" s="16"/>
      <c r="AT9" s="14"/>
      <c r="AU9" s="16"/>
      <c r="AV9" s="264" t="str">
        <f>武器卡!C25</f>
        <v>大龙 剑鞭</v>
      </c>
      <c r="AW9" s="264"/>
      <c r="AX9" s="274" t="str">
        <f>武器卡!D25</f>
        <v>中</v>
      </c>
      <c r="AY9" s="264" t="str">
        <f>武器卡!F25</f>
        <v>3或2</v>
      </c>
      <c r="AZ9" s="278"/>
      <c r="BA9" s="274" t="str">
        <f>武器卡!H25</f>
        <v>1+1</v>
      </c>
      <c r="BB9" s="274">
        <f>武器卡!K25</f>
        <v>0</v>
      </c>
      <c r="BC9" s="264" t="str">
        <f>武器卡!L25</f>
        <v>5D6</v>
      </c>
      <c r="BD9" s="274">
        <f>武器卡!G25</f>
        <v>0</v>
      </c>
      <c r="BE9" s="274" t="str">
        <f>武器卡!M25</f>
        <v>全威力</v>
      </c>
      <c r="BF9" s="16"/>
      <c r="BG9" s="14"/>
    </row>
    <row r="10" spans="1:59" ht="15" customHeight="1" x14ac:dyDescent="0.15">
      <c r="A10" s="14"/>
      <c r="B10" s="22"/>
      <c r="C10" s="266"/>
      <c r="D10" s="266"/>
      <c r="E10" s="266"/>
      <c r="F10" s="266"/>
      <c r="G10" s="21"/>
      <c r="H10" s="14"/>
      <c r="I10" s="16"/>
      <c r="J10" s="275" t="s">
        <v>56</v>
      </c>
      <c r="K10" s="280"/>
      <c r="L10" s="21"/>
      <c r="M10" s="14"/>
      <c r="N10" s="16"/>
      <c r="O10" s="266"/>
      <c r="P10" s="279">
        <f>K10+O10</f>
        <v>0</v>
      </c>
      <c r="Q10" s="21"/>
      <c r="R10" s="14"/>
      <c r="S10" s="21"/>
      <c r="T10" s="296" t="s">
        <v>57</v>
      </c>
      <c r="U10" s="297"/>
      <c r="V10" s="208" t="s">
        <v>22</v>
      </c>
      <c r="W10" s="208" t="s">
        <v>23</v>
      </c>
      <c r="X10" s="220" t="s">
        <v>24</v>
      </c>
      <c r="Y10" s="21"/>
      <c r="Z10" s="268" t="s">
        <v>58</v>
      </c>
      <c r="AA10" s="269"/>
      <c r="AB10" s="212"/>
      <c r="AC10" s="213"/>
      <c r="AD10" s="219">
        <f t="shared" si="0"/>
        <v>0</v>
      </c>
      <c r="AE10" s="21"/>
      <c r="AF10" s="268" t="s">
        <v>853</v>
      </c>
      <c r="AG10" s="269"/>
      <c r="AH10" s="212"/>
      <c r="AI10" s="213"/>
      <c r="AJ10" s="219">
        <f>AH10+AI10+$P$6</f>
        <v>-2</v>
      </c>
      <c r="AK10" s="16"/>
      <c r="AL10" s="14"/>
      <c r="AM10" s="16"/>
      <c r="AN10" s="273"/>
      <c r="AO10" s="263"/>
      <c r="AP10" s="263"/>
      <c r="AQ10" s="263"/>
      <c r="AR10" s="263"/>
      <c r="AS10" s="16"/>
      <c r="AT10" s="14"/>
      <c r="AU10" s="16"/>
      <c r="AV10" s="264"/>
      <c r="AW10" s="264"/>
      <c r="AX10" s="274"/>
      <c r="AY10" s="264"/>
      <c r="AZ10" s="278"/>
      <c r="BA10" s="274"/>
      <c r="BB10" s="274"/>
      <c r="BC10" s="264"/>
      <c r="BD10" s="274"/>
      <c r="BE10" s="274"/>
      <c r="BF10" s="16"/>
      <c r="BG10" s="14"/>
    </row>
    <row r="11" spans="1:59" ht="15" customHeight="1" x14ac:dyDescent="0.15">
      <c r="A11" s="14"/>
      <c r="B11" s="22"/>
      <c r="C11" s="266"/>
      <c r="D11" s="266"/>
      <c r="E11" s="266"/>
      <c r="F11" s="266"/>
      <c r="G11" s="21"/>
      <c r="H11" s="14"/>
      <c r="I11" s="16"/>
      <c r="J11" s="275"/>
      <c r="K11" s="280"/>
      <c r="L11" s="21"/>
      <c r="M11" s="14"/>
      <c r="N11" s="16"/>
      <c r="O11" s="266"/>
      <c r="P11" s="279"/>
      <c r="Q11" s="21"/>
      <c r="R11" s="14"/>
      <c r="S11" s="16"/>
      <c r="T11" s="268" t="s">
        <v>59</v>
      </c>
      <c r="U11" s="269"/>
      <c r="V11" s="212"/>
      <c r="W11" s="210">
        <v>2</v>
      </c>
      <c r="X11" s="219">
        <f>V11+W11+$P$8</f>
        <v>0</v>
      </c>
      <c r="Y11" s="21"/>
      <c r="Z11" s="268" t="s">
        <v>60</v>
      </c>
      <c r="AA11" s="269"/>
      <c r="AB11" s="212"/>
      <c r="AC11" s="213"/>
      <c r="AD11" s="219">
        <f t="shared" si="0"/>
        <v>0</v>
      </c>
      <c r="AE11" s="21"/>
      <c r="AF11" s="293" t="s">
        <v>61</v>
      </c>
      <c r="AG11" s="294"/>
      <c r="AH11" s="212"/>
      <c r="AI11" s="213"/>
      <c r="AJ11" s="219">
        <f>AH11+ROUNDDOWN(AI11/2,0)+$P$6</f>
        <v>-2</v>
      </c>
      <c r="AK11" s="16"/>
      <c r="AL11" s="14"/>
      <c r="AM11" s="16"/>
      <c r="AN11" s="273"/>
      <c r="AO11" s="263"/>
      <c r="AP11" s="263"/>
      <c r="AQ11" s="263"/>
      <c r="AR11" s="263"/>
      <c r="AS11" s="16"/>
      <c r="AT11" s="14"/>
      <c r="AU11" s="16"/>
      <c r="AV11" s="264">
        <f>武器卡!C35</f>
        <v>0</v>
      </c>
      <c r="AW11" s="264"/>
      <c r="AX11" s="274">
        <f>武器卡!D35</f>
        <v>0</v>
      </c>
      <c r="AY11" s="264">
        <f>武器卡!F35</f>
        <v>0</v>
      </c>
      <c r="AZ11" s="278"/>
      <c r="BA11" s="274">
        <f>武器卡!H35</f>
        <v>0</v>
      </c>
      <c r="BB11" s="274">
        <f>武器卡!K35</f>
        <v>0</v>
      </c>
      <c r="BC11" s="264">
        <f>武器卡!L35</f>
        <v>0</v>
      </c>
      <c r="BD11" s="274">
        <f>武器卡!G35</f>
        <v>0</v>
      </c>
      <c r="BE11" s="274">
        <f>武器卡!M35</f>
        <v>0</v>
      </c>
      <c r="BF11" s="16"/>
      <c r="BG11" s="14"/>
    </row>
    <row r="12" spans="1:59" ht="15" customHeight="1" x14ac:dyDescent="0.15">
      <c r="A12" s="14"/>
      <c r="B12" s="22"/>
      <c r="C12" s="266"/>
      <c r="D12" s="266"/>
      <c r="E12" s="266"/>
      <c r="F12" s="266"/>
      <c r="G12" s="21"/>
      <c r="H12" s="14"/>
      <c r="I12" s="16"/>
      <c r="J12" s="275" t="s">
        <v>62</v>
      </c>
      <c r="K12" s="280"/>
      <c r="L12" s="21"/>
      <c r="M12" s="14"/>
      <c r="N12" s="16"/>
      <c r="O12" s="266"/>
      <c r="P12" s="279">
        <f>K12+O12</f>
        <v>0</v>
      </c>
      <c r="Q12" s="21"/>
      <c r="R12" s="14"/>
      <c r="S12" s="16"/>
      <c r="T12" s="268" t="s">
        <v>63</v>
      </c>
      <c r="U12" s="269"/>
      <c r="V12" s="212"/>
      <c r="W12" s="213"/>
      <c r="X12" s="219">
        <f>V12+W12+$P$8</f>
        <v>-2</v>
      </c>
      <c r="Y12" s="21"/>
      <c r="Z12" s="268" t="s">
        <v>64</v>
      </c>
      <c r="AA12" s="269"/>
      <c r="AB12" s="212"/>
      <c r="AC12" s="213"/>
      <c r="AD12" s="219">
        <f t="shared" si="0"/>
        <v>0</v>
      </c>
      <c r="AE12" s="21"/>
      <c r="AF12" s="268" t="s">
        <v>65</v>
      </c>
      <c r="AG12" s="269"/>
      <c r="AH12" s="212"/>
      <c r="AI12" s="213"/>
      <c r="AJ12" s="219">
        <f>AH12+AI12+$P$6</f>
        <v>-2</v>
      </c>
      <c r="AK12" s="16"/>
      <c r="AL12" s="14"/>
      <c r="AM12" s="16"/>
      <c r="AN12" s="273"/>
      <c r="AO12" s="263"/>
      <c r="AP12" s="263"/>
      <c r="AQ12" s="263"/>
      <c r="AR12" s="263"/>
      <c r="AS12" s="16"/>
      <c r="AT12" s="14"/>
      <c r="AU12" s="16"/>
      <c r="AV12" s="264"/>
      <c r="AW12" s="264"/>
      <c r="AX12" s="274"/>
      <c r="AY12" s="264"/>
      <c r="AZ12" s="278"/>
      <c r="BA12" s="274"/>
      <c r="BB12" s="274"/>
      <c r="BC12" s="264"/>
      <c r="BD12" s="274"/>
      <c r="BE12" s="274"/>
      <c r="BF12" s="16"/>
      <c r="BG12" s="14"/>
    </row>
    <row r="13" spans="1:59" ht="15" customHeight="1" x14ac:dyDescent="0.15">
      <c r="A13" s="14"/>
      <c r="B13" s="22"/>
      <c r="C13" s="266"/>
      <c r="D13" s="266"/>
      <c r="E13" s="266"/>
      <c r="F13" s="266"/>
      <c r="G13" s="21"/>
      <c r="H13" s="14"/>
      <c r="I13" s="16"/>
      <c r="J13" s="275"/>
      <c r="K13" s="280"/>
      <c r="L13" s="21"/>
      <c r="M13" s="14"/>
      <c r="N13" s="16"/>
      <c r="O13" s="266"/>
      <c r="P13" s="279"/>
      <c r="Q13" s="21"/>
      <c r="R13" s="14"/>
      <c r="S13" s="16"/>
      <c r="T13" s="268" t="s">
        <v>66</v>
      </c>
      <c r="U13" s="269"/>
      <c r="V13" s="212"/>
      <c r="W13" s="213"/>
      <c r="X13" s="219">
        <f>V13+W13+$P$8</f>
        <v>-2</v>
      </c>
      <c r="Y13" s="21"/>
      <c r="Z13" s="268" t="s">
        <v>67</v>
      </c>
      <c r="AA13" s="269"/>
      <c r="AB13" s="212"/>
      <c r="AC13" s="210">
        <v>2</v>
      </c>
      <c r="AD13" s="219">
        <f t="shared" si="0"/>
        <v>2</v>
      </c>
      <c r="AE13" s="21"/>
      <c r="AF13" s="293" t="s">
        <v>68</v>
      </c>
      <c r="AG13" s="294"/>
      <c r="AH13" s="212"/>
      <c r="AI13" s="213"/>
      <c r="AJ13" s="219">
        <f>AH13+ROUNDDOWN(AI13/2,0)+$P$6</f>
        <v>-2</v>
      </c>
      <c r="AK13" s="16"/>
      <c r="AL13" s="14"/>
      <c r="AM13" s="16"/>
      <c r="AN13" s="273"/>
      <c r="AO13" s="263"/>
      <c r="AP13" s="263"/>
      <c r="AQ13" s="263"/>
      <c r="AR13" s="263"/>
      <c r="AS13" s="16"/>
      <c r="AT13" s="14"/>
      <c r="AU13" s="16"/>
      <c r="AV13" s="264"/>
      <c r="AW13" s="264"/>
      <c r="AX13" s="264"/>
      <c r="AY13" s="264"/>
      <c r="AZ13" s="273"/>
      <c r="BA13" s="264"/>
      <c r="BB13" s="264"/>
      <c r="BC13" s="264"/>
      <c r="BD13" s="264"/>
      <c r="BE13" s="276"/>
      <c r="BF13" s="16"/>
      <c r="BG13" s="14"/>
    </row>
    <row r="14" spans="1:59" ht="15" customHeight="1" x14ac:dyDescent="0.15">
      <c r="A14" s="14"/>
      <c r="B14" s="22"/>
      <c r="C14" s="266"/>
      <c r="D14" s="266"/>
      <c r="E14" s="266"/>
      <c r="F14" s="266"/>
      <c r="G14" s="21"/>
      <c r="H14" s="14"/>
      <c r="I14" s="16"/>
      <c r="J14" s="275" t="s">
        <v>69</v>
      </c>
      <c r="K14" s="280"/>
      <c r="L14" s="21"/>
      <c r="M14" s="14"/>
      <c r="N14" s="16"/>
      <c r="O14" s="266"/>
      <c r="P14" s="279">
        <f>K14+O14</f>
        <v>0</v>
      </c>
      <c r="Q14" s="21"/>
      <c r="R14" s="14"/>
      <c r="S14" s="16"/>
      <c r="T14" s="268" t="s">
        <v>70</v>
      </c>
      <c r="U14" s="269"/>
      <c r="V14" s="212"/>
      <c r="W14" s="213"/>
      <c r="X14" s="219">
        <f>V14+W14+$P$14</f>
        <v>0</v>
      </c>
      <c r="Y14" s="21"/>
      <c r="Z14" s="268" t="s">
        <v>71</v>
      </c>
      <c r="AA14" s="269"/>
      <c r="AB14" s="212"/>
      <c r="AC14" s="213"/>
      <c r="AD14" s="219">
        <f t="shared" si="0"/>
        <v>0</v>
      </c>
      <c r="AE14" s="21"/>
      <c r="AF14" s="268" t="s">
        <v>72</v>
      </c>
      <c r="AG14" s="269"/>
      <c r="AH14" s="212"/>
      <c r="AI14" s="213"/>
      <c r="AJ14" s="219">
        <f>AH14+AI14+$P$6</f>
        <v>-2</v>
      </c>
      <c r="AK14" s="16"/>
      <c r="AL14" s="14"/>
      <c r="AM14" s="16"/>
      <c r="AN14" s="273"/>
      <c r="AO14" s="263"/>
      <c r="AP14" s="263"/>
      <c r="AQ14" s="263"/>
      <c r="AR14" s="263"/>
      <c r="AS14" s="16"/>
      <c r="AT14" s="14"/>
      <c r="AU14" s="16"/>
      <c r="AV14" s="264"/>
      <c r="AW14" s="264"/>
      <c r="AX14" s="264"/>
      <c r="AY14" s="264"/>
      <c r="AZ14" s="273"/>
      <c r="BA14" s="264"/>
      <c r="BB14" s="264"/>
      <c r="BC14" s="264"/>
      <c r="BD14" s="264"/>
      <c r="BE14" s="276"/>
      <c r="BF14" s="16"/>
      <c r="BG14" s="14"/>
    </row>
    <row r="15" spans="1:59" ht="15" customHeight="1" x14ac:dyDescent="0.15">
      <c r="A15" s="14"/>
      <c r="B15" s="16"/>
      <c r="C15" s="275" t="s">
        <v>73</v>
      </c>
      <c r="D15" s="275"/>
      <c r="E15" s="275"/>
      <c r="F15" s="275"/>
      <c r="G15" s="16"/>
      <c r="H15" s="14"/>
      <c r="I15" s="16"/>
      <c r="J15" s="275"/>
      <c r="K15" s="280"/>
      <c r="L15" s="21"/>
      <c r="M15" s="14"/>
      <c r="N15" s="16"/>
      <c r="O15" s="266"/>
      <c r="P15" s="279"/>
      <c r="Q15" s="21"/>
      <c r="R15" s="14"/>
      <c r="S15" s="16"/>
      <c r="T15" s="268" t="s">
        <v>74</v>
      </c>
      <c r="U15" s="269"/>
      <c r="V15" s="212"/>
      <c r="W15" s="213"/>
      <c r="X15" s="219">
        <f>V15+W15+$P$14</f>
        <v>0</v>
      </c>
      <c r="Y15" s="21"/>
      <c r="Z15" s="268" t="s">
        <v>75</v>
      </c>
      <c r="AA15" s="269"/>
      <c r="AB15" s="212"/>
      <c r="AC15" s="213"/>
      <c r="AD15" s="219">
        <f t="shared" si="0"/>
        <v>0</v>
      </c>
      <c r="AE15" s="21"/>
      <c r="AF15" s="296" t="s">
        <v>76</v>
      </c>
      <c r="AG15" s="297"/>
      <c r="AH15" s="208" t="s">
        <v>22</v>
      </c>
      <c r="AI15" s="208" t="s">
        <v>23</v>
      </c>
      <c r="AJ15" s="220" t="s">
        <v>24</v>
      </c>
      <c r="AK15" s="16"/>
      <c r="AL15" s="14"/>
      <c r="AM15" s="16"/>
      <c r="AN15" s="273"/>
      <c r="AO15" s="263"/>
      <c r="AP15" s="263"/>
      <c r="AQ15" s="263"/>
      <c r="AR15" s="263"/>
      <c r="AS15" s="16"/>
      <c r="AT15" s="14"/>
      <c r="AU15" s="16"/>
      <c r="AV15" s="123"/>
      <c r="AW15" s="123"/>
      <c r="AX15" s="123"/>
      <c r="AY15" s="123"/>
      <c r="AZ15" s="123"/>
      <c r="BA15" s="123"/>
      <c r="BB15" s="123"/>
      <c r="BC15" s="123"/>
      <c r="BD15" s="123"/>
      <c r="BE15" s="123"/>
      <c r="BF15" s="16"/>
      <c r="BG15" s="14"/>
    </row>
    <row r="16" spans="1:59" ht="15" customHeight="1" x14ac:dyDescent="0.15">
      <c r="A16" s="14"/>
      <c r="B16" s="16"/>
      <c r="C16" s="231" t="s">
        <v>77</v>
      </c>
      <c r="D16" s="266"/>
      <c r="E16" s="266"/>
      <c r="F16" s="266"/>
      <c r="G16" s="16"/>
      <c r="H16" s="14"/>
      <c r="I16" s="16"/>
      <c r="J16" s="275" t="s">
        <v>78</v>
      </c>
      <c r="K16" s="280"/>
      <c r="L16" s="23"/>
      <c r="M16" s="14"/>
      <c r="N16" s="16"/>
      <c r="O16" s="266"/>
      <c r="P16" s="279">
        <f>K16+O16</f>
        <v>0</v>
      </c>
      <c r="Q16" s="23"/>
      <c r="R16" s="14"/>
      <c r="S16" s="16"/>
      <c r="T16" s="268" t="s">
        <v>79</v>
      </c>
      <c r="U16" s="269"/>
      <c r="V16" s="212"/>
      <c r="W16" s="210">
        <v>2</v>
      </c>
      <c r="X16" s="219">
        <f>V16+W16+$P$8</f>
        <v>0</v>
      </c>
      <c r="Y16" s="21"/>
      <c r="Z16" s="268" t="s">
        <v>80</v>
      </c>
      <c r="AA16" s="269"/>
      <c r="AB16" s="269"/>
      <c r="AC16" s="269"/>
      <c r="AD16" s="221"/>
      <c r="AE16" s="21"/>
      <c r="AF16" s="268" t="s">
        <v>81</v>
      </c>
      <c r="AG16" s="269"/>
      <c r="AH16" s="212"/>
      <c r="AI16" s="213"/>
      <c r="AJ16" s="219">
        <f>AH16+AI16+$P$12</f>
        <v>0</v>
      </c>
      <c r="AK16" s="16"/>
      <c r="AL16" s="14"/>
      <c r="AM16" s="16"/>
      <c r="AN16" s="273"/>
      <c r="AO16" s="263"/>
      <c r="AP16" s="263"/>
      <c r="AQ16" s="263"/>
      <c r="AR16" s="263"/>
      <c r="AS16" s="16"/>
      <c r="AT16" s="14"/>
      <c r="AU16" s="14"/>
      <c r="AV16" s="126"/>
      <c r="AW16" s="126"/>
      <c r="AX16" s="126"/>
      <c r="AY16" s="126"/>
      <c r="AZ16" s="126"/>
      <c r="BA16" s="126"/>
      <c r="BB16" s="126"/>
      <c r="BC16" s="126"/>
      <c r="BD16" s="126"/>
      <c r="BE16" s="126"/>
      <c r="BF16" s="14"/>
      <c r="BG16" s="14"/>
    </row>
    <row r="17" spans="1:59" ht="15" customHeight="1" x14ac:dyDescent="0.15">
      <c r="A17" s="14"/>
      <c r="B17" s="16"/>
      <c r="C17" s="231" t="s">
        <v>82</v>
      </c>
      <c r="D17" s="266"/>
      <c r="E17" s="266"/>
      <c r="F17" s="266"/>
      <c r="G17" s="16"/>
      <c r="H17" s="14"/>
      <c r="I17" s="16"/>
      <c r="J17" s="275"/>
      <c r="K17" s="280"/>
      <c r="L17" s="23"/>
      <c r="M17" s="14"/>
      <c r="N17" s="16"/>
      <c r="O17" s="266"/>
      <c r="P17" s="279"/>
      <c r="Q17" s="23"/>
      <c r="R17" s="14"/>
      <c r="S17" s="21"/>
      <c r="T17" s="296" t="s">
        <v>83</v>
      </c>
      <c r="U17" s="297"/>
      <c r="V17" s="208" t="s">
        <v>22</v>
      </c>
      <c r="W17" s="208" t="s">
        <v>23</v>
      </c>
      <c r="X17" s="220" t="s">
        <v>24</v>
      </c>
      <c r="Y17" s="21"/>
      <c r="Z17" s="226" t="s">
        <v>84</v>
      </c>
      <c r="AA17" s="215" t="s">
        <v>854</v>
      </c>
      <c r="AB17" s="212"/>
      <c r="AC17" s="213"/>
      <c r="AD17" s="219">
        <f>AC17+AB17+$P$4</f>
        <v>0</v>
      </c>
      <c r="AE17" s="21"/>
      <c r="AF17" s="268" t="s">
        <v>86</v>
      </c>
      <c r="AG17" s="269"/>
      <c r="AH17" s="212"/>
      <c r="AI17" s="210">
        <v>2</v>
      </c>
      <c r="AJ17" s="219">
        <f>AH17+AI17+$P$22</f>
        <v>2</v>
      </c>
      <c r="AK17" s="16"/>
      <c r="AL17" s="14"/>
      <c r="AM17" s="16"/>
      <c r="AN17" s="273"/>
      <c r="AO17" s="263"/>
      <c r="AP17" s="263"/>
      <c r="AQ17" s="263"/>
      <c r="AR17" s="263"/>
      <c r="AS17" s="16"/>
      <c r="AT17" s="14"/>
      <c r="AU17" s="159"/>
      <c r="AV17" s="122" t="s">
        <v>106</v>
      </c>
      <c r="AW17" s="126"/>
      <c r="AX17" s="126"/>
      <c r="AY17" s="126"/>
      <c r="AZ17" s="126"/>
      <c r="BA17" s="126"/>
      <c r="BB17" s="126"/>
      <c r="BC17" s="126"/>
      <c r="BD17" s="126"/>
      <c r="BE17" s="126"/>
      <c r="BF17" s="14"/>
      <c r="BG17" s="14"/>
    </row>
    <row r="18" spans="1:59" ht="15" customHeight="1" x14ac:dyDescent="0.15">
      <c r="A18" s="14"/>
      <c r="B18" s="16"/>
      <c r="C18" s="231" t="s">
        <v>87</v>
      </c>
      <c r="D18" s="266"/>
      <c r="E18" s="266"/>
      <c r="F18" s="266"/>
      <c r="G18" s="16"/>
      <c r="H18" s="14"/>
      <c r="I18" s="16"/>
      <c r="J18" s="275" t="s">
        <v>88</v>
      </c>
      <c r="K18" s="280"/>
      <c r="L18" s="21"/>
      <c r="M18" s="14"/>
      <c r="N18" s="16"/>
      <c r="O18" s="266"/>
      <c r="P18" s="279">
        <f>K18+O18-BB20</f>
        <v>-2</v>
      </c>
      <c r="Q18" s="21"/>
      <c r="R18" s="14"/>
      <c r="S18" s="16"/>
      <c r="T18" s="268" t="s">
        <v>89</v>
      </c>
      <c r="U18" s="269"/>
      <c r="V18" s="212"/>
      <c r="W18" s="213"/>
      <c r="X18" s="219">
        <f>V18+W18+$P$6</f>
        <v>-2</v>
      </c>
      <c r="Y18" s="21"/>
      <c r="Z18" s="226" t="s">
        <v>84</v>
      </c>
      <c r="AA18" s="215" t="s">
        <v>85</v>
      </c>
      <c r="AB18" s="212"/>
      <c r="AC18" s="213"/>
      <c r="AD18" s="219">
        <f>AC18+AB18+$P$4</f>
        <v>0</v>
      </c>
      <c r="AE18" s="21"/>
      <c r="AF18" s="268" t="s">
        <v>90</v>
      </c>
      <c r="AG18" s="269"/>
      <c r="AH18" s="212"/>
      <c r="AI18" s="210">
        <v>2</v>
      </c>
      <c r="AJ18" s="219">
        <f>AH18+AI18+$P$22</f>
        <v>2</v>
      </c>
      <c r="AK18" s="16"/>
      <c r="AL18" s="14"/>
      <c r="AM18" s="16"/>
      <c r="AN18" s="273"/>
      <c r="AO18" s="263"/>
      <c r="AP18" s="263"/>
      <c r="AQ18" s="263"/>
      <c r="AR18" s="263"/>
      <c r="AS18" s="16"/>
      <c r="AT18" s="14"/>
      <c r="AU18" s="16"/>
      <c r="AV18" s="123"/>
      <c r="AW18" s="123"/>
      <c r="AX18" s="123"/>
      <c r="AY18" s="123"/>
      <c r="AZ18" s="123"/>
      <c r="BA18" s="123"/>
      <c r="BB18" s="123"/>
      <c r="BC18" s="123"/>
      <c r="BD18" s="123"/>
      <c r="BE18" s="123"/>
      <c r="BF18" s="16"/>
      <c r="BG18" s="14"/>
    </row>
    <row r="19" spans="1:59" ht="15" customHeight="1" x14ac:dyDescent="0.15">
      <c r="A19" s="14"/>
      <c r="B19" s="16"/>
      <c r="C19" s="231" t="s">
        <v>91</v>
      </c>
      <c r="D19" s="212"/>
      <c r="E19" s="231" t="s">
        <v>92</v>
      </c>
      <c r="F19" s="212"/>
      <c r="G19" s="16"/>
      <c r="H19" s="14"/>
      <c r="I19" s="16"/>
      <c r="J19" s="275"/>
      <c r="K19" s="280"/>
      <c r="L19" s="21"/>
      <c r="M19" s="14"/>
      <c r="N19" s="16"/>
      <c r="O19" s="266"/>
      <c r="P19" s="279"/>
      <c r="Q19" s="21"/>
      <c r="R19" s="14"/>
      <c r="S19" s="16"/>
      <c r="T19" s="293" t="s">
        <v>93</v>
      </c>
      <c r="U19" s="294"/>
      <c r="V19" s="212"/>
      <c r="W19" s="213"/>
      <c r="X19" s="219">
        <f>V19+ROUNDDOWN(W19/2,0)+$P$6</f>
        <v>-2</v>
      </c>
      <c r="Y19" s="21"/>
      <c r="Z19" s="226" t="s">
        <v>94</v>
      </c>
      <c r="AA19" s="215" t="s">
        <v>85</v>
      </c>
      <c r="AB19" s="212"/>
      <c r="AC19" s="213"/>
      <c r="AD19" s="219">
        <f>AC19+AB19+$P$4</f>
        <v>0</v>
      </c>
      <c r="AE19" s="21"/>
      <c r="AF19" s="268" t="s">
        <v>95</v>
      </c>
      <c r="AG19" s="269"/>
      <c r="AH19" s="212"/>
      <c r="AI19" s="213"/>
      <c r="AJ19" s="219">
        <f t="shared" ref="AJ19:AJ24" si="1">AH19+AI19+$P$12</f>
        <v>0</v>
      </c>
      <c r="AK19" s="16"/>
      <c r="AL19" s="14"/>
      <c r="AM19" s="16"/>
      <c r="AN19" s="273"/>
      <c r="AO19" s="263"/>
      <c r="AP19" s="263"/>
      <c r="AQ19" s="263"/>
      <c r="AR19" s="263"/>
      <c r="AS19" s="16"/>
      <c r="AT19" s="14"/>
      <c r="AU19" s="16"/>
      <c r="AV19" s="231" t="s">
        <v>741</v>
      </c>
      <c r="AW19" s="275" t="s">
        <v>114</v>
      </c>
      <c r="AX19" s="275"/>
      <c r="AY19" s="231" t="s">
        <v>796</v>
      </c>
      <c r="AZ19" s="231" t="s">
        <v>797</v>
      </c>
      <c r="BA19" s="231" t="s">
        <v>798</v>
      </c>
      <c r="BB19" s="231" t="s">
        <v>799</v>
      </c>
      <c r="BC19" s="275" t="s">
        <v>115</v>
      </c>
      <c r="BD19" s="275"/>
      <c r="BE19" s="231" t="s">
        <v>116</v>
      </c>
      <c r="BF19" s="16"/>
      <c r="BG19" s="14"/>
    </row>
    <row r="20" spans="1:59" ht="15" customHeight="1" x14ac:dyDescent="0.15">
      <c r="A20" s="14"/>
      <c r="B20" s="16"/>
      <c r="C20" s="231" t="s">
        <v>96</v>
      </c>
      <c r="D20" s="266"/>
      <c r="E20" s="266"/>
      <c r="F20" s="266"/>
      <c r="G20" s="16"/>
      <c r="H20" s="14"/>
      <c r="I20" s="16"/>
      <c r="J20" s="275" t="s">
        <v>97</v>
      </c>
      <c r="K20" s="280"/>
      <c r="L20" s="21"/>
      <c r="M20" s="14"/>
      <c r="N20" s="16"/>
      <c r="O20" s="266"/>
      <c r="P20" s="279">
        <f>K20+O20</f>
        <v>0</v>
      </c>
      <c r="Q20" s="21"/>
      <c r="R20" s="14"/>
      <c r="S20" s="16"/>
      <c r="T20" s="268" t="s">
        <v>98</v>
      </c>
      <c r="U20" s="269"/>
      <c r="V20" s="212"/>
      <c r="W20" s="213"/>
      <c r="X20" s="219">
        <f>V20+W20+$P$6</f>
        <v>-2</v>
      </c>
      <c r="Y20" s="21"/>
      <c r="Z20" s="268" t="s">
        <v>99</v>
      </c>
      <c r="AA20" s="269"/>
      <c r="AB20" s="212"/>
      <c r="AC20" s="213"/>
      <c r="AD20" s="219">
        <f>AC20+AB20+$P$4</f>
        <v>0</v>
      </c>
      <c r="AE20" s="21"/>
      <c r="AF20" s="268" t="s">
        <v>100</v>
      </c>
      <c r="AG20" s="269"/>
      <c r="AH20" s="212"/>
      <c r="AI20" s="210">
        <v>2</v>
      </c>
      <c r="AJ20" s="219">
        <f t="shared" si="1"/>
        <v>2</v>
      </c>
      <c r="AK20" s="16"/>
      <c r="AL20" s="14"/>
      <c r="AM20" s="16"/>
      <c r="AN20" s="273"/>
      <c r="AO20" s="263"/>
      <c r="AP20" s="263"/>
      <c r="AQ20" s="263"/>
      <c r="AR20" s="263"/>
      <c r="AS20" s="16"/>
      <c r="AT20" s="14"/>
      <c r="AU20" s="16"/>
      <c r="AV20" s="265" t="s">
        <v>121</v>
      </c>
      <c r="AW20" s="265" t="str">
        <f>防具卡!D5</f>
        <v>老兵头盔</v>
      </c>
      <c r="AX20" s="265"/>
      <c r="AY20" s="273"/>
      <c r="AZ20" s="265">
        <f>防具卡!G5</f>
        <v>11</v>
      </c>
      <c r="BA20" s="264">
        <f>防具卡!H5</f>
        <v>1</v>
      </c>
      <c r="BB20" s="277">
        <f>MAX(BA20:BA37)</f>
        <v>2</v>
      </c>
      <c r="BC20" s="264" t="str">
        <f>防具卡!K5</f>
        <v>跳弹</v>
      </c>
      <c r="BD20" s="264"/>
      <c r="BE20" s="264" t="str">
        <f>LOOKUP(AY20, {0,4,10,15,20,26,33,41}, {"无甲","轻甲","中甲","重甲","超重甲","战车甲","坦克","共事"})</f>
        <v>无甲</v>
      </c>
      <c r="BF20" s="16"/>
      <c r="BG20" s="14"/>
    </row>
    <row r="21" spans="1:59" ht="15" customHeight="1" x14ac:dyDescent="0.15">
      <c r="A21" s="14"/>
      <c r="B21" s="16"/>
      <c r="C21" s="231" t="s">
        <v>101</v>
      </c>
      <c r="D21" s="212"/>
      <c r="E21" s="231" t="s">
        <v>102</v>
      </c>
      <c r="F21" s="211">
        <f>往来记录!L61</f>
        <v>0</v>
      </c>
      <c r="G21" s="16"/>
      <c r="H21" s="14"/>
      <c r="I21" s="16"/>
      <c r="J21" s="275"/>
      <c r="K21" s="280"/>
      <c r="L21" s="21"/>
      <c r="M21" s="14"/>
      <c r="N21" s="16"/>
      <c r="O21" s="266"/>
      <c r="P21" s="279"/>
      <c r="Q21" s="21"/>
      <c r="R21" s="14"/>
      <c r="S21" s="16"/>
      <c r="T21" s="268" t="s">
        <v>103</v>
      </c>
      <c r="U21" s="269"/>
      <c r="V21" s="212"/>
      <c r="W21" s="212"/>
      <c r="X21" s="219">
        <f>V21+W21+$P$6</f>
        <v>-2</v>
      </c>
      <c r="Y21" s="21"/>
      <c r="Z21" s="268" t="s">
        <v>104</v>
      </c>
      <c r="AA21" s="269"/>
      <c r="AB21" s="212"/>
      <c r="AC21" s="213"/>
      <c r="AD21" s="219">
        <f>AC21+AB21+$P$4</f>
        <v>0</v>
      </c>
      <c r="AE21" s="21"/>
      <c r="AF21" s="268" t="s">
        <v>105</v>
      </c>
      <c r="AG21" s="269"/>
      <c r="AH21" s="212"/>
      <c r="AI21" s="213"/>
      <c r="AJ21" s="219">
        <f t="shared" si="1"/>
        <v>0</v>
      </c>
      <c r="AK21" s="16"/>
      <c r="AL21" s="14"/>
      <c r="AM21" s="16"/>
      <c r="AN21" s="273"/>
      <c r="AO21" s="263"/>
      <c r="AP21" s="263"/>
      <c r="AQ21" s="263"/>
      <c r="AR21" s="263"/>
      <c r="AS21" s="16"/>
      <c r="AT21" s="14"/>
      <c r="AU21" s="16"/>
      <c r="AV21" s="265"/>
      <c r="AW21" s="265"/>
      <c r="AX21" s="265"/>
      <c r="AY21" s="273"/>
      <c r="AZ21" s="265"/>
      <c r="BA21" s="264"/>
      <c r="BB21" s="277"/>
      <c r="BC21" s="264"/>
      <c r="BD21" s="264"/>
      <c r="BE21" s="264"/>
      <c r="BF21" s="16"/>
      <c r="BG21" s="14"/>
    </row>
    <row r="22" spans="1:59" ht="15" customHeight="1" x14ac:dyDescent="0.15">
      <c r="A22" s="14"/>
      <c r="B22" s="16"/>
      <c r="C22" s="231" t="s">
        <v>107</v>
      </c>
      <c r="D22" s="266"/>
      <c r="E22" s="266"/>
      <c r="F22" s="266"/>
      <c r="G22" s="16"/>
      <c r="H22" s="14"/>
      <c r="I22" s="16"/>
      <c r="J22" s="275" t="s">
        <v>108</v>
      </c>
      <c r="K22" s="280"/>
      <c r="L22" s="21"/>
      <c r="M22" s="14"/>
      <c r="N22" s="16"/>
      <c r="O22" s="212"/>
      <c r="P22" s="279">
        <f>K22+O22+O23</f>
        <v>0</v>
      </c>
      <c r="Q22" s="21"/>
      <c r="R22" s="20"/>
      <c r="S22" s="21"/>
      <c r="T22" s="296" t="s">
        <v>109</v>
      </c>
      <c r="U22" s="297"/>
      <c r="V22" s="208" t="s">
        <v>22</v>
      </c>
      <c r="W22" s="208" t="s">
        <v>23</v>
      </c>
      <c r="X22" s="220" t="s">
        <v>24</v>
      </c>
      <c r="Y22" s="21"/>
      <c r="Z22" s="268" t="s">
        <v>110</v>
      </c>
      <c r="AA22" s="269"/>
      <c r="AB22" s="269"/>
      <c r="AC22" s="269"/>
      <c r="AD22" s="221"/>
      <c r="AE22" s="21"/>
      <c r="AF22" s="268" t="s">
        <v>111</v>
      </c>
      <c r="AG22" s="269"/>
      <c r="AH22" s="212"/>
      <c r="AI22" s="213"/>
      <c r="AJ22" s="219">
        <f t="shared" si="1"/>
        <v>0</v>
      </c>
      <c r="AK22" s="16"/>
      <c r="AL22" s="14"/>
      <c r="AM22" s="16"/>
      <c r="AN22" s="273"/>
      <c r="AO22" s="263"/>
      <c r="AP22" s="263"/>
      <c r="AQ22" s="263"/>
      <c r="AR22" s="263"/>
      <c r="AS22" s="16"/>
      <c r="AT22" s="14"/>
      <c r="AU22" s="16"/>
      <c r="AV22" s="265" t="s">
        <v>127</v>
      </c>
      <c r="AW22" s="265">
        <f>防具卡!D6</f>
        <v>0</v>
      </c>
      <c r="AX22" s="265"/>
      <c r="AY22" s="273"/>
      <c r="AZ22" s="265">
        <f>防具卡!G6</f>
        <v>0</v>
      </c>
      <c r="BA22" s="264">
        <f>防具卡!H6</f>
        <v>0</v>
      </c>
      <c r="BB22" s="277"/>
      <c r="BC22" s="264">
        <f>防具卡!K6</f>
        <v>0</v>
      </c>
      <c r="BD22" s="264"/>
      <c r="BE22" s="264" t="str">
        <f>LOOKUP(AY22, {0,4,10,15,20,26,33,41}, {"无甲","轻甲","中甲","重甲","超重甲","战车甲","坦克","共事"})</f>
        <v>无甲</v>
      </c>
      <c r="BF22" s="16"/>
      <c r="BG22" s="14"/>
    </row>
    <row r="23" spans="1:59" ht="15" customHeight="1" x14ac:dyDescent="0.15">
      <c r="A23" s="14"/>
      <c r="B23" s="16"/>
      <c r="C23" s="16"/>
      <c r="D23" s="16"/>
      <c r="E23" s="16"/>
      <c r="F23" s="16"/>
      <c r="G23" s="16"/>
      <c r="H23" s="14"/>
      <c r="I23" s="16"/>
      <c r="J23" s="275"/>
      <c r="K23" s="280"/>
      <c r="L23" s="21"/>
      <c r="M23" s="14"/>
      <c r="N23" s="16"/>
      <c r="O23" s="211">
        <f>INT(MOD(K32,100)/10)-K22</f>
        <v>0</v>
      </c>
      <c r="P23" s="279"/>
      <c r="Q23" s="21"/>
      <c r="R23" s="14"/>
      <c r="S23" s="16"/>
      <c r="T23" s="268" t="s">
        <v>852</v>
      </c>
      <c r="U23" s="269"/>
      <c r="V23" s="212"/>
      <c r="W23" s="212"/>
      <c r="X23" s="219">
        <f>V23+W23+$P$12</f>
        <v>0</v>
      </c>
      <c r="Y23" s="21"/>
      <c r="Z23" s="226" t="s">
        <v>84</v>
      </c>
      <c r="AA23" s="214" t="s">
        <v>112</v>
      </c>
      <c r="AB23" s="212"/>
      <c r="AC23" s="210">
        <v>2</v>
      </c>
      <c r="AD23" s="219">
        <f>AC23+AB23+$P$4</f>
        <v>2</v>
      </c>
      <c r="AE23" s="21"/>
      <c r="AF23" s="268" t="s">
        <v>113</v>
      </c>
      <c r="AG23" s="269"/>
      <c r="AH23" s="212"/>
      <c r="AI23" s="213"/>
      <c r="AJ23" s="219">
        <f t="shared" si="1"/>
        <v>0</v>
      </c>
      <c r="AK23" s="16"/>
      <c r="AL23" s="14"/>
      <c r="AM23" s="16"/>
      <c r="AN23" s="273"/>
      <c r="AO23" s="263"/>
      <c r="AP23" s="263"/>
      <c r="AQ23" s="263"/>
      <c r="AR23" s="263"/>
      <c r="AS23" s="16"/>
      <c r="AT23" s="14"/>
      <c r="AU23" s="16"/>
      <c r="AV23" s="265"/>
      <c r="AW23" s="265"/>
      <c r="AX23" s="265"/>
      <c r="AY23" s="273"/>
      <c r="AZ23" s="265"/>
      <c r="BA23" s="264"/>
      <c r="BB23" s="277"/>
      <c r="BC23" s="264"/>
      <c r="BD23" s="264"/>
      <c r="BE23" s="264"/>
      <c r="BF23" s="16"/>
      <c r="BG23" s="14"/>
    </row>
    <row r="24" spans="1:59" ht="15" customHeight="1" x14ac:dyDescent="0.15">
      <c r="A24" s="14"/>
      <c r="B24" s="14"/>
      <c r="C24" s="14"/>
      <c r="D24" s="14"/>
      <c r="E24" s="14"/>
      <c r="F24" s="14"/>
      <c r="G24" s="14"/>
      <c r="H24" s="14"/>
      <c r="I24" s="16"/>
      <c r="J24" s="231" t="s">
        <v>117</v>
      </c>
      <c r="K24" s="233"/>
      <c r="L24" s="24"/>
      <c r="M24" s="25"/>
      <c r="N24" s="24"/>
      <c r="O24" s="295" t="s">
        <v>118</v>
      </c>
      <c r="P24" s="266"/>
      <c r="Q24" s="21"/>
      <c r="R24" s="14"/>
      <c r="S24" s="16"/>
      <c r="T24" s="268" t="s">
        <v>805</v>
      </c>
      <c r="U24" s="269"/>
      <c r="V24" s="269"/>
      <c r="W24" s="269"/>
      <c r="X24" s="221"/>
      <c r="Y24" s="21"/>
      <c r="Z24" s="226" t="s">
        <v>84</v>
      </c>
      <c r="AA24" s="215" t="s">
        <v>119</v>
      </c>
      <c r="AB24" s="212">
        <v>4</v>
      </c>
      <c r="AC24" s="213"/>
      <c r="AD24" s="219">
        <f>AC24+AB24+$P$4</f>
        <v>4</v>
      </c>
      <c r="AE24" s="21"/>
      <c r="AF24" s="268" t="s">
        <v>120</v>
      </c>
      <c r="AG24" s="269"/>
      <c r="AH24" s="212"/>
      <c r="AI24" s="213"/>
      <c r="AJ24" s="219">
        <f t="shared" si="1"/>
        <v>0</v>
      </c>
      <c r="AK24" s="16"/>
      <c r="AL24" s="14"/>
      <c r="AM24" s="16"/>
      <c r="AN24" s="273"/>
      <c r="AO24" s="263"/>
      <c r="AP24" s="263"/>
      <c r="AQ24" s="263"/>
      <c r="AR24" s="263"/>
      <c r="AS24" s="16"/>
      <c r="AT24" s="14"/>
      <c r="AU24" s="16"/>
      <c r="AV24" s="265" t="s">
        <v>133</v>
      </c>
      <c r="AW24" s="265" t="str">
        <f>防具卡!D7</f>
        <v>轻型装甲夹克</v>
      </c>
      <c r="AX24" s="265"/>
      <c r="AY24" s="273"/>
      <c r="AZ24" s="265" t="str">
        <f>防具卡!G7</f>
        <v>9</v>
      </c>
      <c r="BA24" s="264">
        <f>防具卡!H7</f>
        <v>0</v>
      </c>
      <c r="BB24" s="277"/>
      <c r="BC24" s="264" t="str">
        <f>防具卡!K7</f>
        <v>防震内衬</v>
      </c>
      <c r="BD24" s="264"/>
      <c r="BE24" s="264" t="str">
        <f>LOOKUP(AY24, {0,4,10,15,20,26,33,41}, {"无甲","轻甲","中甲","重甲","超重甲","战车甲","坦克","共事"})</f>
        <v>无甲</v>
      </c>
      <c r="BF24" s="16"/>
      <c r="BG24" s="14"/>
    </row>
    <row r="25" spans="1:59" ht="15" customHeight="1" x14ac:dyDescent="0.15">
      <c r="A25" s="14"/>
      <c r="B25" s="159"/>
      <c r="C25" s="122" t="s">
        <v>122</v>
      </c>
      <c r="D25" s="14"/>
      <c r="E25" s="14"/>
      <c r="F25" s="14"/>
      <c r="G25" s="14"/>
      <c r="H25" s="14"/>
      <c r="I25" s="16"/>
      <c r="J25" s="231" t="s">
        <v>123</v>
      </c>
      <c r="K25" s="234">
        <f>K24-SUM(K4:K22)</f>
        <v>0</v>
      </c>
      <c r="L25" s="24"/>
      <c r="M25" s="25"/>
      <c r="N25" s="24"/>
      <c r="O25" s="295"/>
      <c r="P25" s="266"/>
      <c r="Q25" s="21"/>
      <c r="R25" s="14"/>
      <c r="S25" s="21"/>
      <c r="T25" s="222" t="s">
        <v>84</v>
      </c>
      <c r="U25" s="444" t="s">
        <v>860</v>
      </c>
      <c r="V25" s="212"/>
      <c r="W25" s="212"/>
      <c r="X25" s="219">
        <f>V25+W25+$P$10</f>
        <v>0</v>
      </c>
      <c r="Y25" s="21"/>
      <c r="Z25" s="226" t="s">
        <v>94</v>
      </c>
      <c r="AA25" s="215" t="s">
        <v>851</v>
      </c>
      <c r="AB25" s="212"/>
      <c r="AC25" s="213"/>
      <c r="AD25" s="219">
        <f>AC25+AB25+$P$4</f>
        <v>0</v>
      </c>
      <c r="AE25" s="21"/>
      <c r="AF25" s="296" t="s">
        <v>124</v>
      </c>
      <c r="AG25" s="297"/>
      <c r="AH25" s="208" t="s">
        <v>22</v>
      </c>
      <c r="AI25" s="208" t="s">
        <v>23</v>
      </c>
      <c r="AJ25" s="220" t="s">
        <v>24</v>
      </c>
      <c r="AK25" s="16"/>
      <c r="AL25" s="14"/>
      <c r="AM25" s="16"/>
      <c r="AN25" s="273"/>
      <c r="AO25" s="263"/>
      <c r="AP25" s="263"/>
      <c r="AQ25" s="263"/>
      <c r="AR25" s="263"/>
      <c r="AS25" s="16"/>
      <c r="AT25" s="14"/>
      <c r="AU25" s="16"/>
      <c r="AV25" s="265"/>
      <c r="AW25" s="265"/>
      <c r="AX25" s="265"/>
      <c r="AY25" s="273"/>
      <c r="AZ25" s="265"/>
      <c r="BA25" s="264"/>
      <c r="BB25" s="277"/>
      <c r="BC25" s="264"/>
      <c r="BD25" s="264"/>
      <c r="BE25" s="264"/>
      <c r="BF25" s="16"/>
      <c r="BG25" s="14"/>
    </row>
    <row r="26" spans="1:59" ht="15" customHeight="1" x14ac:dyDescent="0.15">
      <c r="A26" s="14"/>
      <c r="B26" s="16"/>
      <c r="C26" s="285" t="s">
        <v>716</v>
      </c>
      <c r="D26" s="285"/>
      <c r="E26" s="285"/>
      <c r="F26" s="285"/>
      <c r="G26" s="16"/>
      <c r="H26" s="14"/>
      <c r="I26" s="16"/>
      <c r="J26" s="16"/>
      <c r="K26" s="16"/>
      <c r="L26" s="21"/>
      <c r="M26" s="20"/>
      <c r="N26" s="21"/>
      <c r="O26" s="22"/>
      <c r="P26" s="22"/>
      <c r="Q26" s="21"/>
      <c r="R26" s="14"/>
      <c r="S26" s="21"/>
      <c r="T26" s="226" t="s">
        <v>84</v>
      </c>
      <c r="U26" s="444" t="s">
        <v>861</v>
      </c>
      <c r="V26" s="224"/>
      <c r="W26" s="224"/>
      <c r="X26" s="225">
        <f>V26+W26+$P$10</f>
        <v>0</v>
      </c>
      <c r="Y26" s="21"/>
      <c r="Z26" s="268" t="s">
        <v>125</v>
      </c>
      <c r="AA26" s="269"/>
      <c r="AB26" s="269"/>
      <c r="AC26" s="269"/>
      <c r="AD26" s="221"/>
      <c r="AE26" s="21"/>
      <c r="AF26" s="268" t="s">
        <v>126</v>
      </c>
      <c r="AG26" s="269"/>
      <c r="AH26" s="212"/>
      <c r="AI26" s="212"/>
      <c r="AJ26" s="219">
        <f>AH26+AI26+$P$10</f>
        <v>0</v>
      </c>
      <c r="AK26" s="16"/>
      <c r="AL26" s="14"/>
      <c r="AM26" s="16"/>
      <c r="AN26" s="273"/>
      <c r="AO26" s="263"/>
      <c r="AP26" s="263"/>
      <c r="AQ26" s="263"/>
      <c r="AR26" s="263"/>
      <c r="AS26" s="16"/>
      <c r="AT26" s="14"/>
      <c r="AU26" s="16"/>
      <c r="AV26" s="265" t="s">
        <v>143</v>
      </c>
      <c r="AW26" s="265">
        <f>防具卡!D8</f>
        <v>0</v>
      </c>
      <c r="AX26" s="265"/>
      <c r="AY26" s="273"/>
      <c r="AZ26" s="265">
        <f>防具卡!G8</f>
        <v>0</v>
      </c>
      <c r="BA26" s="264">
        <f>防具卡!H8</f>
        <v>0</v>
      </c>
      <c r="BB26" s="277"/>
      <c r="BC26" s="264">
        <f>防具卡!K8</f>
        <v>0</v>
      </c>
      <c r="BD26" s="264"/>
      <c r="BE26" s="264" t="str">
        <f>LOOKUP(AY26, {0,4,10,15,20,26,33,41}, {"无甲","轻甲","中甲","重甲","超重甲","战车甲","坦克","共事"})</f>
        <v>无甲</v>
      </c>
      <c r="BF26" s="16"/>
      <c r="BG26" s="14"/>
    </row>
    <row r="27" spans="1:59" ht="15" customHeight="1" x14ac:dyDescent="0.15">
      <c r="A27" s="14"/>
      <c r="B27" s="16"/>
      <c r="C27" s="275" t="s">
        <v>845</v>
      </c>
      <c r="D27" s="266"/>
      <c r="E27" s="281" t="s">
        <v>101</v>
      </c>
      <c r="F27" s="266"/>
      <c r="G27" s="16"/>
      <c r="H27" s="20"/>
      <c r="I27" s="20"/>
      <c r="J27" s="20"/>
      <c r="K27" s="20"/>
      <c r="L27" s="20"/>
      <c r="M27" s="20"/>
      <c r="N27" s="20"/>
      <c r="O27" s="26"/>
      <c r="P27" s="26"/>
      <c r="Q27" s="20"/>
      <c r="R27" s="20"/>
      <c r="S27" s="21"/>
      <c r="T27" s="226" t="s">
        <v>84</v>
      </c>
      <c r="U27" s="444" t="s">
        <v>862</v>
      </c>
      <c r="V27" s="224"/>
      <c r="W27" s="224"/>
      <c r="X27" s="225">
        <f>V27+W27+$P$10</f>
        <v>0</v>
      </c>
      <c r="Y27" s="16"/>
      <c r="Z27" s="226" t="s">
        <v>84</v>
      </c>
      <c r="AA27" s="215" t="s">
        <v>128</v>
      </c>
      <c r="AB27" s="212"/>
      <c r="AC27" s="210">
        <v>2</v>
      </c>
      <c r="AD27" s="219">
        <f>AC27+AB27+$P$4</f>
        <v>2</v>
      </c>
      <c r="AE27" s="21"/>
      <c r="AF27" s="268" t="s">
        <v>129</v>
      </c>
      <c r="AG27" s="269"/>
      <c r="AH27" s="212"/>
      <c r="AI27" s="212"/>
      <c r="AJ27" s="219">
        <f>AH27+AI27+$P$10</f>
        <v>0</v>
      </c>
      <c r="AK27" s="16"/>
      <c r="AL27" s="14"/>
      <c r="AM27" s="16"/>
      <c r="AN27" s="273"/>
      <c r="AO27" s="263"/>
      <c r="AP27" s="263"/>
      <c r="AQ27" s="263"/>
      <c r="AR27" s="263"/>
      <c r="AS27" s="16"/>
      <c r="AT27" s="14"/>
      <c r="AU27" s="16"/>
      <c r="AV27" s="265"/>
      <c r="AW27" s="265"/>
      <c r="AX27" s="265"/>
      <c r="AY27" s="273"/>
      <c r="AZ27" s="265"/>
      <c r="BA27" s="264"/>
      <c r="BB27" s="277"/>
      <c r="BC27" s="264"/>
      <c r="BD27" s="264"/>
      <c r="BE27" s="264"/>
      <c r="BF27" s="16"/>
      <c r="BG27" s="14"/>
    </row>
    <row r="28" spans="1:59" ht="15" customHeight="1" x14ac:dyDescent="0.15">
      <c r="A28" s="14"/>
      <c r="B28" s="16"/>
      <c r="C28" s="275"/>
      <c r="D28" s="266"/>
      <c r="E28" s="281"/>
      <c r="F28" s="266"/>
      <c r="G28" s="16"/>
      <c r="H28" s="20"/>
      <c r="I28" s="159"/>
      <c r="J28" s="122" t="s">
        <v>130</v>
      </c>
      <c r="K28" s="159"/>
      <c r="L28" s="27"/>
      <c r="M28" s="20"/>
      <c r="N28" s="20"/>
      <c r="O28" s="26"/>
      <c r="P28" s="26"/>
      <c r="Q28" s="20"/>
      <c r="R28" s="20"/>
      <c r="S28" s="21"/>
      <c r="T28" s="226" t="s">
        <v>84</v>
      </c>
      <c r="U28" s="444" t="s">
        <v>863</v>
      </c>
      <c r="V28" s="224"/>
      <c r="W28" s="224"/>
      <c r="X28" s="225">
        <f>V28+W28+$P$10</f>
        <v>0</v>
      </c>
      <c r="Y28" s="16"/>
      <c r="Z28" s="226" t="s">
        <v>84</v>
      </c>
      <c r="AA28" s="215" t="s">
        <v>131</v>
      </c>
      <c r="AB28" s="212"/>
      <c r="AC28" s="213"/>
      <c r="AD28" s="219">
        <f>AC28+AB28+$P$4</f>
        <v>0</v>
      </c>
      <c r="AE28" s="16"/>
      <c r="AF28" s="268" t="s">
        <v>132</v>
      </c>
      <c r="AG28" s="269"/>
      <c r="AH28" s="212"/>
      <c r="AI28" s="212"/>
      <c r="AJ28" s="219">
        <f>AH28+AI28+$P$10</f>
        <v>0</v>
      </c>
      <c r="AK28" s="16"/>
      <c r="AL28" s="14"/>
      <c r="AM28" s="16"/>
      <c r="AN28" s="273"/>
      <c r="AO28" s="263"/>
      <c r="AP28" s="263"/>
      <c r="AQ28" s="263"/>
      <c r="AR28" s="263"/>
      <c r="AS28" s="16"/>
      <c r="AT28" s="14"/>
      <c r="AU28" s="16"/>
      <c r="AV28" s="265" t="s">
        <v>150</v>
      </c>
      <c r="AW28" s="265" t="str">
        <f>防具卡!D9</f>
        <v>轻型装甲夹克</v>
      </c>
      <c r="AX28" s="265"/>
      <c r="AY28" s="273"/>
      <c r="AZ28" s="265" t="str">
        <f>防具卡!G9</f>
        <v>9</v>
      </c>
      <c r="BA28" s="264">
        <f>防具卡!H9</f>
        <v>0</v>
      </c>
      <c r="BB28" s="277"/>
      <c r="BC28" s="264" t="str">
        <f>防具卡!K9</f>
        <v>防震内衬</v>
      </c>
      <c r="BD28" s="264"/>
      <c r="BE28" s="264" t="str">
        <f>LOOKUP(AY28, {0,4,10,15,20,26,33,41}, {"无甲","轻甲","中甲","重甲","超重甲","战车甲","坦克","共事"})</f>
        <v>无甲</v>
      </c>
      <c r="BF28" s="16"/>
      <c r="BG28" s="14"/>
    </row>
    <row r="29" spans="1:59" ht="15" customHeight="1" x14ac:dyDescent="0.15">
      <c r="A29" s="14"/>
      <c r="B29" s="16"/>
      <c r="C29" s="275" t="s">
        <v>134</v>
      </c>
      <c r="D29" s="266"/>
      <c r="E29" s="281" t="s">
        <v>101</v>
      </c>
      <c r="F29" s="266"/>
      <c r="G29" s="16"/>
      <c r="H29" s="20"/>
      <c r="I29" s="21"/>
      <c r="J29" s="251" t="s">
        <v>135</v>
      </c>
      <c r="K29" s="21"/>
      <c r="L29" s="21"/>
      <c r="M29" s="21"/>
      <c r="N29" s="21"/>
      <c r="O29" s="22"/>
      <c r="P29" s="22"/>
      <c r="Q29" s="21"/>
      <c r="R29" s="20"/>
      <c r="S29" s="21"/>
      <c r="T29" s="223" t="s">
        <v>94</v>
      </c>
      <c r="U29" s="444" t="s">
        <v>864</v>
      </c>
      <c r="V29" s="224"/>
      <c r="W29" s="224"/>
      <c r="X29" s="225">
        <f>V29+W29+$P$10</f>
        <v>0</v>
      </c>
      <c r="Y29" s="16"/>
      <c r="Z29" s="227" t="s">
        <v>94</v>
      </c>
      <c r="AA29" s="228" t="s">
        <v>131</v>
      </c>
      <c r="AB29" s="224"/>
      <c r="AC29" s="229"/>
      <c r="AD29" s="225">
        <f>AC29+AB29+$P$4</f>
        <v>0</v>
      </c>
      <c r="AE29" s="16"/>
      <c r="AF29" s="293" t="s">
        <v>137</v>
      </c>
      <c r="AG29" s="294"/>
      <c r="AH29" s="212"/>
      <c r="AI29" s="213"/>
      <c r="AJ29" s="219">
        <f>AH29+ROUNDDOWN(AI29/2,0)+$P$10</f>
        <v>0</v>
      </c>
      <c r="AK29" s="16"/>
      <c r="AL29" s="14"/>
      <c r="AM29" s="16"/>
      <c r="AN29" s="273"/>
      <c r="AO29" s="263"/>
      <c r="AP29" s="263"/>
      <c r="AQ29" s="263"/>
      <c r="AR29" s="263"/>
      <c r="AS29" s="16"/>
      <c r="AT29" s="14"/>
      <c r="AU29" s="16"/>
      <c r="AV29" s="265"/>
      <c r="AW29" s="265"/>
      <c r="AX29" s="265"/>
      <c r="AY29" s="273"/>
      <c r="AZ29" s="265"/>
      <c r="BA29" s="264"/>
      <c r="BB29" s="277"/>
      <c r="BC29" s="264"/>
      <c r="BD29" s="264"/>
      <c r="BE29" s="264"/>
      <c r="BF29" s="16"/>
      <c r="BG29" s="14"/>
    </row>
    <row r="30" spans="1:59" ht="15" customHeight="1" x14ac:dyDescent="0.15">
      <c r="A30" s="14"/>
      <c r="B30" s="16"/>
      <c r="C30" s="275"/>
      <c r="D30" s="266"/>
      <c r="E30" s="281"/>
      <c r="F30" s="266"/>
      <c r="G30" s="16"/>
      <c r="H30" s="20"/>
      <c r="I30" s="21"/>
      <c r="J30" s="275" t="s">
        <v>138</v>
      </c>
      <c r="K30" s="266"/>
      <c r="L30" s="266"/>
      <c r="M30" s="266"/>
      <c r="N30" s="281" t="s">
        <v>139</v>
      </c>
      <c r="O30" s="279">
        <f>10+ROUNDUP((K20+K14)/2,0)*5</f>
        <v>10</v>
      </c>
      <c r="P30" s="279"/>
      <c r="Q30" s="21"/>
      <c r="R30" s="20"/>
      <c r="S30" s="21"/>
      <c r="T30" s="21"/>
      <c r="U30" s="21"/>
      <c r="V30" s="21"/>
      <c r="W30" s="21"/>
      <c r="X30" s="21"/>
      <c r="Y30" s="204"/>
      <c r="Z30" s="204"/>
      <c r="AA30" s="204"/>
      <c r="AB30" s="204"/>
      <c r="AC30" s="204"/>
      <c r="AD30" s="204"/>
      <c r="AE30" s="16"/>
      <c r="AF30" s="293" t="s">
        <v>142</v>
      </c>
      <c r="AG30" s="294"/>
      <c r="AH30" s="212"/>
      <c r="AI30" s="213"/>
      <c r="AJ30" s="219">
        <f>AH30+ROUNDDOWN(AI30/2,0)+$P$10</f>
        <v>0</v>
      </c>
      <c r="AK30" s="16"/>
      <c r="AL30" s="14"/>
      <c r="AM30" s="16"/>
      <c r="AN30" s="273"/>
      <c r="AO30" s="263"/>
      <c r="AP30" s="263"/>
      <c r="AQ30" s="263"/>
      <c r="AR30" s="263"/>
      <c r="AS30" s="16"/>
      <c r="AT30" s="14"/>
      <c r="AU30" s="16"/>
      <c r="AV30" s="265" t="s">
        <v>154</v>
      </c>
      <c r="AW30" s="265" t="str">
        <f>防具卡!D10</f>
        <v>嵌板式防弹裤</v>
      </c>
      <c r="AX30" s="265"/>
      <c r="AY30" s="273"/>
      <c r="AZ30" s="265" t="str">
        <f>防具卡!G10</f>
        <v>15</v>
      </c>
      <c r="BA30" s="264">
        <f>防具卡!H10</f>
        <v>2</v>
      </c>
      <c r="BB30" s="277"/>
      <c r="BC30" s="264" t="str">
        <f>防具卡!K10</f>
        <v>复合衬垫（1）</v>
      </c>
      <c r="BD30" s="264"/>
      <c r="BE30" s="264" t="str">
        <f>LOOKUP(AY30, {0,4,10,15,20,26,33,41}, {"无甲","轻甲","中甲","重甲","超重甲","战车甲","坦克","共事"})</f>
        <v>无甲</v>
      </c>
      <c r="BF30" s="16"/>
      <c r="BG30" s="14"/>
    </row>
    <row r="31" spans="1:59" ht="15" customHeight="1" x14ac:dyDescent="0.15">
      <c r="A31" s="14"/>
      <c r="B31" s="16"/>
      <c r="C31" s="275" t="s">
        <v>144</v>
      </c>
      <c r="D31" s="266"/>
      <c r="E31" s="281" t="s">
        <v>101</v>
      </c>
      <c r="F31" s="266"/>
      <c r="G31" s="16"/>
      <c r="H31" s="20"/>
      <c r="I31" s="21"/>
      <c r="J31" s="275"/>
      <c r="K31" s="266"/>
      <c r="L31" s="266"/>
      <c r="M31" s="266"/>
      <c r="N31" s="281"/>
      <c r="O31" s="279"/>
      <c r="P31" s="279"/>
      <c r="Q31" s="21"/>
      <c r="R31" s="20"/>
      <c r="S31" s="298" t="s">
        <v>136</v>
      </c>
      <c r="T31" s="298"/>
      <c r="U31" s="298"/>
      <c r="V31" s="20"/>
      <c r="W31" s="20"/>
      <c r="X31" s="20"/>
      <c r="Y31" s="20"/>
      <c r="Z31" s="20"/>
      <c r="AA31" s="20"/>
      <c r="AB31" s="20"/>
      <c r="AC31" s="20"/>
      <c r="AD31" s="20"/>
      <c r="AE31" s="16"/>
      <c r="AF31" s="268" t="s">
        <v>146</v>
      </c>
      <c r="AG31" s="269"/>
      <c r="AH31" s="212"/>
      <c r="AI31" s="210">
        <v>2</v>
      </c>
      <c r="AJ31" s="219">
        <f>AH31+AI31+$P$10</f>
        <v>2</v>
      </c>
      <c r="AK31" s="16"/>
      <c r="AL31" s="14"/>
      <c r="AM31" s="16"/>
      <c r="AN31" s="273"/>
      <c r="AO31" s="263"/>
      <c r="AP31" s="263"/>
      <c r="AQ31" s="263"/>
      <c r="AR31" s="263"/>
      <c r="AS31" s="16"/>
      <c r="AT31" s="14"/>
      <c r="AU31" s="16"/>
      <c r="AV31" s="265"/>
      <c r="AW31" s="265"/>
      <c r="AX31" s="265"/>
      <c r="AY31" s="273"/>
      <c r="AZ31" s="265"/>
      <c r="BA31" s="264"/>
      <c r="BB31" s="277"/>
      <c r="BC31" s="264"/>
      <c r="BD31" s="264"/>
      <c r="BE31" s="264"/>
      <c r="BF31" s="16"/>
      <c r="BG31" s="14"/>
    </row>
    <row r="32" spans="1:59" ht="15" customHeight="1" x14ac:dyDescent="0.15">
      <c r="A32" s="14"/>
      <c r="B32" s="16"/>
      <c r="C32" s="275"/>
      <c r="D32" s="266"/>
      <c r="E32" s="281"/>
      <c r="F32" s="266"/>
      <c r="G32" s="16"/>
      <c r="H32" s="20"/>
      <c r="I32" s="21"/>
      <c r="J32" s="275" t="s">
        <v>147</v>
      </c>
      <c r="K32" s="289">
        <f>MAX(IF(ISBLANK(K22),0,MIN(10*K22-义体卡!I5+义体卡!P16,O32)),0)</f>
        <v>0</v>
      </c>
      <c r="L32" s="289"/>
      <c r="M32" s="289"/>
      <c r="N32" s="281" t="s">
        <v>139</v>
      </c>
      <c r="O32" s="279">
        <f>MAX(10*K22-义体卡!J5,0)</f>
        <v>0</v>
      </c>
      <c r="P32" s="279"/>
      <c r="Q32" s="21"/>
      <c r="R32" s="20"/>
      <c r="S32" s="16"/>
      <c r="T32" s="291" t="s">
        <v>140</v>
      </c>
      <c r="U32" s="292"/>
      <c r="V32" s="291" t="s">
        <v>141</v>
      </c>
      <c r="W32" s="291"/>
      <c r="X32" s="291"/>
      <c r="Y32" s="291"/>
      <c r="Z32" s="291"/>
      <c r="AA32" s="291"/>
      <c r="AB32" s="291"/>
      <c r="AC32" s="28"/>
      <c r="AD32" s="28"/>
      <c r="AE32" s="16"/>
      <c r="AF32" s="293" t="s">
        <v>149</v>
      </c>
      <c r="AG32" s="294"/>
      <c r="AH32" s="212"/>
      <c r="AI32" s="212"/>
      <c r="AJ32" s="219">
        <f>AH32+ROUNDDOWN(AI32/2,0)+$P$10</f>
        <v>0</v>
      </c>
      <c r="AK32" s="16"/>
      <c r="AL32" s="14"/>
      <c r="AM32" s="16"/>
      <c r="AN32" s="273"/>
      <c r="AO32" s="263"/>
      <c r="AP32" s="263"/>
      <c r="AQ32" s="263"/>
      <c r="AR32" s="263"/>
      <c r="AS32" s="16"/>
      <c r="AT32" s="14"/>
      <c r="AU32" s="16"/>
      <c r="AV32" s="265" t="s">
        <v>159</v>
      </c>
      <c r="AW32" s="265">
        <f>防具卡!D11</f>
        <v>0</v>
      </c>
      <c r="AX32" s="265"/>
      <c r="AY32" s="273"/>
      <c r="AZ32" s="265">
        <f>防具卡!G11</f>
        <v>0</v>
      </c>
      <c r="BA32" s="264">
        <f>防具卡!H11</f>
        <v>0</v>
      </c>
      <c r="BB32" s="277"/>
      <c r="BC32" s="264">
        <f>防具卡!K11</f>
        <v>0</v>
      </c>
      <c r="BD32" s="264"/>
      <c r="BE32" s="264" t="str">
        <f>LOOKUP(AY32, {0,4,10,15,20,26,33,41}, {"无甲","轻甲","中甲","重甲","超重甲","战车甲","坦克","共事"})</f>
        <v>无甲</v>
      </c>
      <c r="BF32" s="16"/>
      <c r="BG32" s="14"/>
    </row>
    <row r="33" spans="1:59" ht="15" customHeight="1" x14ac:dyDescent="0.15">
      <c r="A33" s="14"/>
      <c r="B33" s="16"/>
      <c r="C33" s="275" t="s">
        <v>151</v>
      </c>
      <c r="D33" s="266"/>
      <c r="E33" s="281" t="s">
        <v>101</v>
      </c>
      <c r="F33" s="266"/>
      <c r="G33" s="16"/>
      <c r="H33" s="20"/>
      <c r="I33" s="21"/>
      <c r="J33" s="275"/>
      <c r="K33" s="289"/>
      <c r="L33" s="289"/>
      <c r="M33" s="289"/>
      <c r="N33" s="281"/>
      <c r="O33" s="279"/>
      <c r="P33" s="279"/>
      <c r="Q33" s="21"/>
      <c r="R33" s="20"/>
      <c r="S33" s="16"/>
      <c r="T33" s="267"/>
      <c r="U33" s="267"/>
      <c r="V33" s="267"/>
      <c r="W33" s="267"/>
      <c r="X33" s="267"/>
      <c r="Y33" s="267"/>
      <c r="Z33" s="267"/>
      <c r="AA33" s="267"/>
      <c r="AB33" s="267"/>
      <c r="AC33" s="29" t="s">
        <v>145</v>
      </c>
      <c r="AD33" s="88"/>
      <c r="AE33" s="16"/>
      <c r="AF33" s="268" t="s">
        <v>152</v>
      </c>
      <c r="AG33" s="269"/>
      <c r="AH33" s="212"/>
      <c r="AI33" s="212"/>
      <c r="AJ33" s="219">
        <f t="shared" ref="AJ33:AJ40" si="2">AH33+AI33+$P$10</f>
        <v>0</v>
      </c>
      <c r="AK33" s="16"/>
      <c r="AL33" s="14"/>
      <c r="AM33" s="16"/>
      <c r="AN33" s="273"/>
      <c r="AO33" s="263"/>
      <c r="AP33" s="263"/>
      <c r="AQ33" s="263"/>
      <c r="AR33" s="263"/>
      <c r="AS33" s="16"/>
      <c r="AT33" s="14"/>
      <c r="AU33" s="16"/>
      <c r="AV33" s="265"/>
      <c r="AW33" s="265"/>
      <c r="AX33" s="265"/>
      <c r="AY33" s="273"/>
      <c r="AZ33" s="265"/>
      <c r="BA33" s="264"/>
      <c r="BB33" s="277"/>
      <c r="BC33" s="264"/>
      <c r="BD33" s="264"/>
      <c r="BE33" s="264"/>
      <c r="BF33" s="16"/>
      <c r="BG33" s="14"/>
    </row>
    <row r="34" spans="1:59" ht="15" customHeight="1" x14ac:dyDescent="0.15">
      <c r="A34" s="14"/>
      <c r="B34" s="16"/>
      <c r="C34" s="275"/>
      <c r="D34" s="266"/>
      <c r="E34" s="281"/>
      <c r="F34" s="266"/>
      <c r="G34" s="16"/>
      <c r="H34" s="20"/>
      <c r="I34" s="21"/>
      <c r="J34" s="251" t="s">
        <v>800</v>
      </c>
      <c r="K34" s="21"/>
      <c r="L34" s="21"/>
      <c r="M34" s="21"/>
      <c r="N34" s="21"/>
      <c r="O34" s="22"/>
      <c r="P34" s="22"/>
      <c r="Q34" s="21"/>
      <c r="R34" s="20"/>
      <c r="S34" s="16"/>
      <c r="T34" s="267"/>
      <c r="U34" s="267"/>
      <c r="V34" s="267"/>
      <c r="W34" s="267"/>
      <c r="X34" s="267"/>
      <c r="Y34" s="267"/>
      <c r="Z34" s="267"/>
      <c r="AA34" s="267"/>
      <c r="AB34" s="267"/>
      <c r="AC34" s="29" t="s">
        <v>148</v>
      </c>
      <c r="AD34" s="88"/>
      <c r="AE34" s="16"/>
      <c r="AF34" s="268" t="s">
        <v>153</v>
      </c>
      <c r="AG34" s="269"/>
      <c r="AH34" s="212"/>
      <c r="AI34" s="212"/>
      <c r="AJ34" s="219">
        <f t="shared" si="2"/>
        <v>0</v>
      </c>
      <c r="AK34" s="16"/>
      <c r="AL34" s="14"/>
      <c r="AM34" s="16"/>
      <c r="AN34" s="273"/>
      <c r="AO34" s="263"/>
      <c r="AP34" s="263"/>
      <c r="AQ34" s="263"/>
      <c r="AR34" s="263"/>
      <c r="AS34" s="16"/>
      <c r="AT34" s="14"/>
      <c r="AU34" s="16"/>
      <c r="AV34" s="265" t="s">
        <v>163</v>
      </c>
      <c r="AW34" s="265">
        <f>防具卡!D12</f>
        <v>0</v>
      </c>
      <c r="AX34" s="265"/>
      <c r="AY34" s="273"/>
      <c r="AZ34" s="265">
        <f>防具卡!G12</f>
        <v>0</v>
      </c>
      <c r="BA34" s="264">
        <f>防具卡!H12</f>
        <v>0</v>
      </c>
      <c r="BB34" s="277"/>
      <c r="BC34" s="264">
        <f>防具卡!K12</f>
        <v>0</v>
      </c>
      <c r="BD34" s="264"/>
      <c r="BE34" s="264" t="str">
        <f>LOOKUP(AY34, {0,4,10,15,20,26,33,41}, {"无甲","轻甲","中甲","重甲","超重甲","战车甲","坦克","共事"})</f>
        <v>无甲</v>
      </c>
      <c r="BF34" s="16"/>
      <c r="BG34" s="14"/>
    </row>
    <row r="35" spans="1:59" ht="15" customHeight="1" x14ac:dyDescent="0.15">
      <c r="A35" s="14"/>
      <c r="B35" s="16"/>
      <c r="C35" s="275" t="s">
        <v>155</v>
      </c>
      <c r="D35" s="266"/>
      <c r="E35" s="281" t="s">
        <v>101</v>
      </c>
      <c r="F35" s="266"/>
      <c r="G35" s="16"/>
      <c r="H35" s="20"/>
      <c r="I35" s="21"/>
      <c r="J35" s="286" t="s">
        <v>802</v>
      </c>
      <c r="K35" s="286"/>
      <c r="L35" s="286"/>
      <c r="M35" s="286"/>
      <c r="N35" s="286"/>
      <c r="O35" s="286"/>
      <c r="P35" s="286"/>
      <c r="Q35" s="21"/>
      <c r="R35" s="20"/>
      <c r="S35" s="16"/>
      <c r="T35" s="267"/>
      <c r="U35" s="267"/>
      <c r="V35" s="267"/>
      <c r="W35" s="267"/>
      <c r="X35" s="267"/>
      <c r="Y35" s="267"/>
      <c r="Z35" s="267"/>
      <c r="AA35" s="267"/>
      <c r="AB35" s="267"/>
      <c r="AC35" s="29" t="s">
        <v>145</v>
      </c>
      <c r="AD35" s="88"/>
      <c r="AE35" s="16"/>
      <c r="AF35" s="268" t="s">
        <v>804</v>
      </c>
      <c r="AG35" s="269"/>
      <c r="AH35" s="212"/>
      <c r="AI35" s="212"/>
      <c r="AJ35" s="219">
        <f t="shared" si="2"/>
        <v>0</v>
      </c>
      <c r="AK35" s="16"/>
      <c r="AL35" s="14"/>
      <c r="AM35" s="16"/>
      <c r="AN35" s="273"/>
      <c r="AO35" s="263"/>
      <c r="AP35" s="263"/>
      <c r="AQ35" s="263"/>
      <c r="AR35" s="263"/>
      <c r="AS35" s="16"/>
      <c r="AT35" s="14"/>
      <c r="AU35" s="16"/>
      <c r="AV35" s="265"/>
      <c r="AW35" s="265"/>
      <c r="AX35" s="265"/>
      <c r="AY35" s="273"/>
      <c r="AZ35" s="265"/>
      <c r="BA35" s="264"/>
      <c r="BB35" s="277"/>
      <c r="BC35" s="264"/>
      <c r="BD35" s="264"/>
      <c r="BE35" s="264"/>
      <c r="BF35" s="16"/>
      <c r="BG35" s="14"/>
    </row>
    <row r="36" spans="1:59" ht="15" customHeight="1" x14ac:dyDescent="0.15">
      <c r="A36" s="14"/>
      <c r="B36" s="16"/>
      <c r="C36" s="275"/>
      <c r="D36" s="266"/>
      <c r="E36" s="281"/>
      <c r="F36" s="266"/>
      <c r="G36" s="16"/>
      <c r="H36" s="20"/>
      <c r="I36" s="21"/>
      <c r="J36" s="287" t="str">
        <f>IF(K30=0,"致命伤",IF(K30&lt;O30,IF(K30&lt;O30/2,"重伤","轻伤"),"健康"))</f>
        <v>致命伤</v>
      </c>
      <c r="K36" s="287"/>
      <c r="L36" s="287"/>
      <c r="M36" s="287"/>
      <c r="N36" s="287"/>
      <c r="O36" s="287"/>
      <c r="P36" s="287"/>
      <c r="Q36" s="21"/>
      <c r="R36" s="20"/>
      <c r="S36" s="16"/>
      <c r="T36" s="267"/>
      <c r="U36" s="267"/>
      <c r="V36" s="267"/>
      <c r="W36" s="267"/>
      <c r="X36" s="267"/>
      <c r="Y36" s="267"/>
      <c r="Z36" s="267"/>
      <c r="AA36" s="267"/>
      <c r="AB36" s="267"/>
      <c r="AC36" s="29" t="s">
        <v>148</v>
      </c>
      <c r="AD36" s="88"/>
      <c r="AE36" s="16"/>
      <c r="AF36" s="268" t="s">
        <v>158</v>
      </c>
      <c r="AG36" s="269"/>
      <c r="AH36" s="212"/>
      <c r="AI36" s="212"/>
      <c r="AJ36" s="219">
        <f t="shared" si="2"/>
        <v>0</v>
      </c>
      <c r="AK36" s="16"/>
      <c r="AL36" s="14"/>
      <c r="AM36" s="16"/>
      <c r="AN36" s="273"/>
      <c r="AO36" s="263"/>
      <c r="AP36" s="263"/>
      <c r="AQ36" s="263"/>
      <c r="AR36" s="263"/>
      <c r="AS36" s="16"/>
      <c r="AT36" s="14"/>
      <c r="AU36" s="16"/>
      <c r="AV36" s="265" t="s">
        <v>167</v>
      </c>
      <c r="AW36" s="273"/>
      <c r="AX36" s="273"/>
      <c r="AY36" s="273"/>
      <c r="AZ36" s="273"/>
      <c r="BA36" s="273"/>
      <c r="BB36" s="277"/>
      <c r="BC36" s="273"/>
      <c r="BD36" s="273"/>
      <c r="BE36" s="273"/>
      <c r="BF36" s="16"/>
      <c r="BG36" s="14"/>
    </row>
    <row r="37" spans="1:59" ht="15" customHeight="1" x14ac:dyDescent="0.15">
      <c r="A37" s="14"/>
      <c r="B37" s="16"/>
      <c r="C37" s="275" t="s">
        <v>160</v>
      </c>
      <c r="D37" s="266"/>
      <c r="E37" s="281" t="s">
        <v>101</v>
      </c>
      <c r="F37" s="266"/>
      <c r="G37" s="16"/>
      <c r="H37" s="20"/>
      <c r="I37" s="21"/>
      <c r="J37" s="287"/>
      <c r="K37" s="287"/>
      <c r="L37" s="287"/>
      <c r="M37" s="287"/>
      <c r="N37" s="287"/>
      <c r="O37" s="287"/>
      <c r="P37" s="287"/>
      <c r="Q37" s="21"/>
      <c r="R37" s="20"/>
      <c r="S37" s="16"/>
      <c r="T37" s="267"/>
      <c r="U37" s="267"/>
      <c r="V37" s="267"/>
      <c r="W37" s="267"/>
      <c r="X37" s="267"/>
      <c r="Y37" s="267"/>
      <c r="Z37" s="267"/>
      <c r="AA37" s="267"/>
      <c r="AB37" s="267"/>
      <c r="AC37" s="29" t="s">
        <v>145</v>
      </c>
      <c r="AD37" s="88"/>
      <c r="AE37" s="16"/>
      <c r="AF37" s="268" t="s">
        <v>161</v>
      </c>
      <c r="AG37" s="269"/>
      <c r="AH37" s="212"/>
      <c r="AI37" s="212"/>
      <c r="AJ37" s="219">
        <f t="shared" si="2"/>
        <v>0</v>
      </c>
      <c r="AK37" s="16"/>
      <c r="AL37" s="14"/>
      <c r="AM37" s="16"/>
      <c r="AN37" s="273"/>
      <c r="AO37" s="263"/>
      <c r="AP37" s="263"/>
      <c r="AQ37" s="263"/>
      <c r="AR37" s="263"/>
      <c r="AS37" s="16"/>
      <c r="AT37" s="14"/>
      <c r="AU37" s="16"/>
      <c r="AV37" s="265"/>
      <c r="AW37" s="273"/>
      <c r="AX37" s="273"/>
      <c r="AY37" s="273"/>
      <c r="AZ37" s="273"/>
      <c r="BA37" s="273"/>
      <c r="BB37" s="277"/>
      <c r="BC37" s="273"/>
      <c r="BD37" s="273"/>
      <c r="BE37" s="273"/>
      <c r="BF37" s="16"/>
      <c r="BG37" s="14"/>
    </row>
    <row r="38" spans="1:59" ht="15" customHeight="1" x14ac:dyDescent="0.15">
      <c r="A38" s="14"/>
      <c r="B38" s="16"/>
      <c r="C38" s="275"/>
      <c r="D38" s="266"/>
      <c r="E38" s="281"/>
      <c r="F38" s="266"/>
      <c r="G38" s="16"/>
      <c r="H38" s="20"/>
      <c r="I38" s="21"/>
      <c r="J38" s="286" t="s">
        <v>356</v>
      </c>
      <c r="K38" s="286"/>
      <c r="L38" s="286"/>
      <c r="M38" s="286"/>
      <c r="N38" s="286"/>
      <c r="O38" s="286"/>
      <c r="P38" s="286"/>
      <c r="Q38" s="21"/>
      <c r="R38" s="20"/>
      <c r="S38" s="16"/>
      <c r="T38" s="267"/>
      <c r="U38" s="267"/>
      <c r="V38" s="267"/>
      <c r="W38" s="267"/>
      <c r="X38" s="267"/>
      <c r="Y38" s="267"/>
      <c r="Z38" s="267"/>
      <c r="AA38" s="267"/>
      <c r="AB38" s="267"/>
      <c r="AC38" s="29" t="s">
        <v>148</v>
      </c>
      <c r="AD38" s="88"/>
      <c r="AE38" s="16"/>
      <c r="AF38" s="268" t="s">
        <v>162</v>
      </c>
      <c r="AG38" s="269"/>
      <c r="AH38" s="212"/>
      <c r="AI38" s="212"/>
      <c r="AJ38" s="219">
        <f t="shared" si="2"/>
        <v>0</v>
      </c>
      <c r="AK38" s="16"/>
      <c r="AL38" s="14"/>
      <c r="AM38" s="16"/>
      <c r="AN38" s="273"/>
      <c r="AO38" s="263"/>
      <c r="AP38" s="263"/>
      <c r="AQ38" s="263"/>
      <c r="AR38" s="263"/>
      <c r="AS38" s="16"/>
      <c r="AT38" s="14"/>
      <c r="AU38" s="16"/>
      <c r="AV38" s="123"/>
      <c r="AW38" s="123"/>
      <c r="AX38" s="123"/>
      <c r="AY38" s="123"/>
      <c r="AZ38" s="151"/>
      <c r="BA38" s="123"/>
      <c r="BB38" s="123"/>
      <c r="BC38" s="123"/>
      <c r="BD38" s="123"/>
      <c r="BE38" s="123"/>
      <c r="BF38" s="16"/>
      <c r="BG38" s="14"/>
    </row>
    <row r="39" spans="1:59" ht="15" customHeight="1" x14ac:dyDescent="0.15">
      <c r="A39" s="14"/>
      <c r="B39" s="16"/>
      <c r="C39" s="275" t="s">
        <v>164</v>
      </c>
      <c r="D39" s="266"/>
      <c r="E39" s="281" t="s">
        <v>101</v>
      </c>
      <c r="F39" s="266"/>
      <c r="G39" s="16"/>
      <c r="H39" s="14"/>
      <c r="I39" s="16"/>
      <c r="J39" s="288" t="str">
        <f>IF(J36="健康","无",IF(J36="轻伤","无",IF(J36="重伤","所有动作检定-2",IF(J36="致命伤","所有动作的检定 -4，移速属性 -6（最低剩余 1）",2))))</f>
        <v>所有动作的检定 -4，移速属性 -6（最低剩余 1）</v>
      </c>
      <c r="K39" s="288"/>
      <c r="L39" s="288"/>
      <c r="M39" s="288"/>
      <c r="N39" s="288"/>
      <c r="O39" s="288"/>
      <c r="P39" s="288"/>
      <c r="Q39" s="16"/>
      <c r="R39" s="20"/>
      <c r="S39" s="16"/>
      <c r="T39" s="267"/>
      <c r="U39" s="267"/>
      <c r="V39" s="267"/>
      <c r="W39" s="267"/>
      <c r="X39" s="267"/>
      <c r="Y39" s="267"/>
      <c r="Z39" s="267"/>
      <c r="AA39" s="267"/>
      <c r="AB39" s="267"/>
      <c r="AC39" s="29" t="s">
        <v>145</v>
      </c>
      <c r="AD39" s="88"/>
      <c r="AE39" s="16"/>
      <c r="AF39" s="268" t="s">
        <v>165</v>
      </c>
      <c r="AG39" s="269"/>
      <c r="AH39" s="212"/>
      <c r="AI39" s="212"/>
      <c r="AJ39" s="219">
        <f t="shared" si="2"/>
        <v>0</v>
      </c>
      <c r="AK39" s="16"/>
      <c r="AL39" s="14"/>
      <c r="AM39" s="16"/>
      <c r="AN39" s="273"/>
      <c r="AO39" s="263"/>
      <c r="AP39" s="263"/>
      <c r="AQ39" s="263"/>
      <c r="AR39" s="263"/>
      <c r="AS39" s="16"/>
      <c r="AT39" s="14"/>
      <c r="AU39" s="14"/>
      <c r="AV39" s="14"/>
      <c r="AW39" s="14"/>
      <c r="AX39" s="14"/>
      <c r="AY39" s="14"/>
      <c r="AZ39" s="14"/>
      <c r="BA39" s="14"/>
      <c r="BB39" s="14"/>
      <c r="BC39" s="14"/>
      <c r="BD39" s="14"/>
      <c r="BE39" s="14"/>
      <c r="BF39" s="14"/>
      <c r="BG39" s="14"/>
    </row>
    <row r="40" spans="1:59" ht="15" customHeight="1" x14ac:dyDescent="0.15">
      <c r="A40" s="14"/>
      <c r="B40" s="16"/>
      <c r="C40" s="275"/>
      <c r="D40" s="266"/>
      <c r="E40" s="281"/>
      <c r="F40" s="266"/>
      <c r="G40" s="16"/>
      <c r="H40" s="14"/>
      <c r="I40" s="16"/>
      <c r="J40" s="288"/>
      <c r="K40" s="288"/>
      <c r="L40" s="288"/>
      <c r="M40" s="288"/>
      <c r="N40" s="288"/>
      <c r="O40" s="288"/>
      <c r="P40" s="288"/>
      <c r="Q40" s="16"/>
      <c r="R40" s="20"/>
      <c r="S40" s="16"/>
      <c r="T40" s="267"/>
      <c r="U40" s="267"/>
      <c r="V40" s="267"/>
      <c r="W40" s="267"/>
      <c r="X40" s="267"/>
      <c r="Y40" s="267"/>
      <c r="Z40" s="267"/>
      <c r="AA40" s="267"/>
      <c r="AB40" s="267"/>
      <c r="AC40" s="29" t="s">
        <v>148</v>
      </c>
      <c r="AD40" s="88"/>
      <c r="AE40" s="16"/>
      <c r="AF40" s="270" t="s">
        <v>166</v>
      </c>
      <c r="AG40" s="271"/>
      <c r="AH40" s="224"/>
      <c r="AI40" s="224"/>
      <c r="AJ40" s="225">
        <f t="shared" si="2"/>
        <v>0</v>
      </c>
      <c r="AK40" s="16"/>
      <c r="AL40" s="14"/>
      <c r="AM40" s="16"/>
      <c r="AN40" s="273"/>
      <c r="AO40" s="263"/>
      <c r="AP40" s="263"/>
      <c r="AQ40" s="263"/>
      <c r="AR40" s="263"/>
      <c r="AS40" s="16"/>
      <c r="AT40" s="14"/>
      <c r="AU40" s="159"/>
      <c r="AV40" s="122" t="s">
        <v>801</v>
      </c>
      <c r="AW40" s="184" t="s">
        <v>806</v>
      </c>
      <c r="AX40" s="14"/>
      <c r="AY40" s="14"/>
      <c r="AZ40" s="14"/>
      <c r="BA40" s="14"/>
      <c r="BB40" s="14"/>
      <c r="BC40" s="14"/>
      <c r="BD40" s="14"/>
      <c r="BE40" s="14"/>
      <c r="BF40" s="14"/>
      <c r="BG40" s="14"/>
    </row>
    <row r="41" spans="1:59" ht="15" customHeight="1" x14ac:dyDescent="0.15">
      <c r="A41" s="14"/>
      <c r="B41" s="16"/>
      <c r="C41" s="275" t="s">
        <v>168</v>
      </c>
      <c r="D41" s="266"/>
      <c r="E41" s="281" t="s">
        <v>101</v>
      </c>
      <c r="F41" s="266"/>
      <c r="G41" s="16"/>
      <c r="H41" s="14"/>
      <c r="I41" s="16"/>
      <c r="J41" s="286" t="s">
        <v>803</v>
      </c>
      <c r="K41" s="286"/>
      <c r="L41" s="286"/>
      <c r="M41" s="286"/>
      <c r="N41" s="286"/>
      <c r="O41" s="286"/>
      <c r="P41" s="286"/>
      <c r="Q41" s="16"/>
      <c r="R41" s="20"/>
      <c r="S41" s="16"/>
      <c r="T41" s="267"/>
      <c r="U41" s="267"/>
      <c r="V41" s="267"/>
      <c r="W41" s="267"/>
      <c r="X41" s="267"/>
      <c r="Y41" s="267"/>
      <c r="Z41" s="267"/>
      <c r="AA41" s="267"/>
      <c r="AB41" s="267"/>
      <c r="AC41" s="29" t="s">
        <v>145</v>
      </c>
      <c r="AD41" s="88"/>
      <c r="AE41" s="16"/>
      <c r="AF41" s="16"/>
      <c r="AG41" s="16"/>
      <c r="AH41" s="16"/>
      <c r="AI41" s="16"/>
      <c r="AJ41" s="16"/>
      <c r="AK41" s="16"/>
      <c r="AL41" s="14"/>
      <c r="AM41" s="16"/>
      <c r="AN41" s="273"/>
      <c r="AO41" s="263"/>
      <c r="AP41" s="263"/>
      <c r="AQ41" s="263"/>
      <c r="AR41" s="263"/>
      <c r="AS41" s="16"/>
      <c r="AT41" s="14"/>
      <c r="AU41" s="124"/>
      <c r="AV41" s="124"/>
      <c r="AW41" s="124"/>
      <c r="AX41" s="124"/>
      <c r="AY41" s="124"/>
      <c r="AZ41" s="124"/>
      <c r="BA41" s="124"/>
      <c r="BB41" s="124"/>
      <c r="BC41" s="124"/>
      <c r="BD41" s="124"/>
      <c r="BE41" s="124"/>
      <c r="BF41" s="124"/>
      <c r="BG41" s="14"/>
    </row>
    <row r="42" spans="1:59" ht="15" customHeight="1" x14ac:dyDescent="0.15">
      <c r="A42" s="14"/>
      <c r="B42" s="16"/>
      <c r="C42" s="275"/>
      <c r="D42" s="266"/>
      <c r="E42" s="281"/>
      <c r="F42" s="266"/>
      <c r="G42" s="16"/>
      <c r="H42" s="14"/>
      <c r="I42" s="16"/>
      <c r="J42" s="287" t="str" cm="1">
        <f t="array" ref="J42">IF(J36="健康","无",IF(J36="轻伤","10",IF(J36="重伤","13",IF(J36="致命伤","15",_xleta.XIRR))))</f>
        <v>15</v>
      </c>
      <c r="K42" s="287"/>
      <c r="L42" s="287"/>
      <c r="M42" s="287"/>
      <c r="N42" s="287"/>
      <c r="O42" s="287"/>
      <c r="P42" s="287"/>
      <c r="Q42" s="16"/>
      <c r="R42" s="20"/>
      <c r="S42" s="16"/>
      <c r="T42" s="267"/>
      <c r="U42" s="267"/>
      <c r="V42" s="267"/>
      <c r="W42" s="267"/>
      <c r="X42" s="267"/>
      <c r="Y42" s="267"/>
      <c r="Z42" s="267"/>
      <c r="AA42" s="267"/>
      <c r="AB42" s="267"/>
      <c r="AC42" s="29" t="s">
        <v>148</v>
      </c>
      <c r="AD42" s="88"/>
      <c r="AE42" s="16"/>
      <c r="AF42" s="290" t="s">
        <v>117</v>
      </c>
      <c r="AG42" s="290"/>
      <c r="AH42" s="31"/>
      <c r="AI42" s="30" t="s">
        <v>148</v>
      </c>
      <c r="AJ42" s="33">
        <f>AH42-SUM(W5:W9)-SUM(W11:W16)-SUM(W18:W21)-W23-SUM(W25:W29)-SUM(AC5:AC15)-SUM(AI3:AI8)-SUM(AI10:AI14)-SUM(AI16:AI24)-SUM(AI26:AI40)-SUM(AC17:AC21)-SUM(AC23:AC25)-SUM(AC27:AC29)</f>
        <v>-26</v>
      </c>
      <c r="AK42" s="16"/>
      <c r="AL42" s="14"/>
      <c r="AM42" s="16"/>
      <c r="AN42" s="273"/>
      <c r="AO42" s="263"/>
      <c r="AP42" s="263"/>
      <c r="AQ42" s="263"/>
      <c r="AR42" s="263"/>
      <c r="AS42" s="16"/>
      <c r="AT42" s="14"/>
      <c r="AU42" s="124"/>
      <c r="AV42" s="272" t="s">
        <v>28</v>
      </c>
      <c r="AW42" s="272"/>
      <c r="AX42" s="272" t="s">
        <v>29</v>
      </c>
      <c r="AY42" s="272"/>
      <c r="AZ42" s="272" t="s">
        <v>29</v>
      </c>
      <c r="BA42" s="272"/>
      <c r="BB42" s="272" t="s">
        <v>29</v>
      </c>
      <c r="BC42" s="272"/>
      <c r="BD42" s="272" t="s">
        <v>29</v>
      </c>
      <c r="BE42" s="272"/>
      <c r="BF42" s="124"/>
      <c r="BG42" s="14"/>
    </row>
    <row r="43" spans="1:59" ht="15" customHeight="1" x14ac:dyDescent="0.15">
      <c r="A43" s="14"/>
      <c r="B43" s="16"/>
      <c r="C43" s="275" t="s">
        <v>808</v>
      </c>
      <c r="D43" s="266"/>
      <c r="E43" s="281" t="s">
        <v>101</v>
      </c>
      <c r="F43" s="266"/>
      <c r="G43" s="16"/>
      <c r="H43" s="14"/>
      <c r="I43" s="16"/>
      <c r="J43" s="287"/>
      <c r="K43" s="287"/>
      <c r="L43" s="287"/>
      <c r="M43" s="287"/>
      <c r="N43" s="287"/>
      <c r="O43" s="287"/>
      <c r="P43" s="287"/>
      <c r="Q43" s="16"/>
      <c r="R43" s="20"/>
      <c r="S43" s="16"/>
      <c r="T43" s="267"/>
      <c r="U43" s="267"/>
      <c r="V43" s="267"/>
      <c r="W43" s="267"/>
      <c r="X43" s="267"/>
      <c r="Y43" s="267"/>
      <c r="Z43" s="267"/>
      <c r="AA43" s="267"/>
      <c r="AB43" s="267"/>
      <c r="AC43" s="29" t="s">
        <v>145</v>
      </c>
      <c r="AD43" s="88"/>
      <c r="AE43" s="16"/>
      <c r="AF43" s="284" t="s">
        <v>169</v>
      </c>
      <c r="AG43" s="284"/>
      <c r="AH43" s="284"/>
      <c r="AI43" s="284"/>
      <c r="AJ43" s="284"/>
      <c r="AK43" s="16"/>
      <c r="AL43" s="14"/>
      <c r="AM43" s="16"/>
      <c r="AN43" s="273"/>
      <c r="AO43" s="263"/>
      <c r="AP43" s="263"/>
      <c r="AQ43" s="263"/>
      <c r="AR43" s="263"/>
      <c r="AS43" s="16"/>
      <c r="AT43" s="14"/>
      <c r="AU43" s="124"/>
      <c r="AV43" s="266"/>
      <c r="AW43" s="266"/>
      <c r="AX43" s="232"/>
      <c r="AY43" s="232"/>
      <c r="AZ43" s="232"/>
      <c r="BA43" s="232"/>
      <c r="BB43" s="232"/>
      <c r="BC43" s="232"/>
      <c r="BD43" s="232"/>
      <c r="BE43" s="232"/>
      <c r="BF43" s="124"/>
      <c r="BG43" s="14"/>
    </row>
    <row r="44" spans="1:59" ht="15" customHeight="1" x14ac:dyDescent="0.15">
      <c r="A44" s="14"/>
      <c r="B44" s="16"/>
      <c r="C44" s="275"/>
      <c r="D44" s="266"/>
      <c r="E44" s="281"/>
      <c r="F44" s="266"/>
      <c r="G44" s="16"/>
      <c r="H44" s="14"/>
      <c r="I44" s="16"/>
      <c r="J44" s="275" t="s">
        <v>156</v>
      </c>
      <c r="K44" s="275"/>
      <c r="L44" s="275"/>
      <c r="M44" s="275"/>
      <c r="N44" s="275"/>
      <c r="O44" s="275" t="s">
        <v>157</v>
      </c>
      <c r="P44" s="275"/>
      <c r="Q44" s="16"/>
      <c r="R44" s="20"/>
      <c r="S44" s="16"/>
      <c r="T44" s="267"/>
      <c r="U44" s="267"/>
      <c r="V44" s="267"/>
      <c r="W44" s="267"/>
      <c r="X44" s="267"/>
      <c r="Y44" s="267"/>
      <c r="Z44" s="267"/>
      <c r="AA44" s="267"/>
      <c r="AB44" s="267"/>
      <c r="AC44" s="29" t="s">
        <v>148</v>
      </c>
      <c r="AD44" s="88"/>
      <c r="AE44" s="16"/>
      <c r="AF44" s="284"/>
      <c r="AG44" s="284"/>
      <c r="AH44" s="284"/>
      <c r="AI44" s="284"/>
      <c r="AJ44" s="284"/>
      <c r="AK44" s="16"/>
      <c r="AL44" s="14"/>
      <c r="AM44" s="16"/>
      <c r="AN44" s="283" t="s">
        <v>51</v>
      </c>
      <c r="AO44" s="266"/>
      <c r="AP44" s="266"/>
      <c r="AQ44" s="266"/>
      <c r="AR44" s="266"/>
      <c r="AS44" s="16"/>
      <c r="AT44" s="14"/>
      <c r="AU44" s="124"/>
      <c r="AV44" s="266"/>
      <c r="AW44" s="266"/>
      <c r="AX44" s="232"/>
      <c r="AY44" s="232"/>
      <c r="AZ44" s="232"/>
      <c r="BA44" s="232"/>
      <c r="BB44" s="232"/>
      <c r="BC44" s="232"/>
      <c r="BD44" s="232"/>
      <c r="BE44" s="232"/>
      <c r="BF44" s="124"/>
      <c r="BG44" s="14"/>
    </row>
    <row r="45" spans="1:59" ht="15" customHeight="1" x14ac:dyDescent="0.15">
      <c r="A45" s="14"/>
      <c r="B45" s="16"/>
      <c r="C45" s="275" t="s">
        <v>809</v>
      </c>
      <c r="D45" s="266"/>
      <c r="E45" s="281" t="s">
        <v>101</v>
      </c>
      <c r="F45" s="266"/>
      <c r="G45" s="16"/>
      <c r="H45" s="14"/>
      <c r="I45" s="16"/>
      <c r="J45" s="266"/>
      <c r="K45" s="266"/>
      <c r="L45" s="266"/>
      <c r="M45" s="266"/>
      <c r="N45" s="266"/>
      <c r="O45" s="266"/>
      <c r="P45" s="266"/>
      <c r="Q45" s="16"/>
      <c r="R45" s="20"/>
      <c r="S45" s="16"/>
      <c r="T45" s="16"/>
      <c r="U45" s="16"/>
      <c r="V45" s="16"/>
      <c r="W45" s="16"/>
      <c r="X45" s="16"/>
      <c r="Y45" s="16"/>
      <c r="Z45" s="16"/>
      <c r="AA45" s="16"/>
      <c r="AB45" s="16"/>
      <c r="AC45" s="16"/>
      <c r="AD45" s="16"/>
      <c r="AE45" s="16"/>
      <c r="AF45" s="284"/>
      <c r="AG45" s="284"/>
      <c r="AH45" s="284"/>
      <c r="AI45" s="284"/>
      <c r="AJ45" s="284"/>
      <c r="AK45" s="16"/>
      <c r="AL45" s="14"/>
      <c r="AM45" s="16"/>
      <c r="AN45" s="283"/>
      <c r="AO45" s="266"/>
      <c r="AP45" s="266"/>
      <c r="AQ45" s="266"/>
      <c r="AR45" s="266"/>
      <c r="AS45" s="16"/>
      <c r="AT45" s="14"/>
      <c r="AU45" s="124"/>
      <c r="AV45" s="266"/>
      <c r="AW45" s="266"/>
      <c r="AX45" s="232"/>
      <c r="AY45" s="232"/>
      <c r="AZ45" s="232"/>
      <c r="BA45" s="232"/>
      <c r="BB45" s="232"/>
      <c r="BC45" s="232"/>
      <c r="BD45" s="232"/>
      <c r="BE45" s="232"/>
      <c r="BF45" s="124"/>
      <c r="BG45" s="14"/>
    </row>
    <row r="46" spans="1:59" ht="15" customHeight="1" x14ac:dyDescent="0.15">
      <c r="A46" s="14"/>
      <c r="B46" s="16"/>
      <c r="C46" s="275"/>
      <c r="D46" s="266"/>
      <c r="E46" s="281"/>
      <c r="F46" s="266"/>
      <c r="G46" s="16"/>
      <c r="H46" s="14"/>
      <c r="I46" s="16"/>
      <c r="J46" s="266"/>
      <c r="K46" s="266"/>
      <c r="L46" s="266"/>
      <c r="M46" s="266"/>
      <c r="N46" s="266"/>
      <c r="O46" s="266"/>
      <c r="P46" s="266"/>
      <c r="Q46" s="16"/>
      <c r="R46" s="20"/>
      <c r="S46" s="20"/>
      <c r="T46" s="20"/>
      <c r="U46" s="20"/>
      <c r="V46" s="20"/>
      <c r="W46" s="14"/>
      <c r="X46" s="20"/>
      <c r="Y46" s="20"/>
      <c r="Z46" s="20"/>
      <c r="AA46" s="20"/>
      <c r="AB46" s="20"/>
      <c r="AC46" s="20"/>
      <c r="AD46" s="20"/>
      <c r="AE46" s="14"/>
      <c r="AF46" s="14"/>
      <c r="AG46" s="14"/>
      <c r="AH46" s="14"/>
      <c r="AI46" s="14"/>
      <c r="AJ46" s="14"/>
      <c r="AK46" s="14"/>
      <c r="AL46" s="14"/>
      <c r="AM46" s="16"/>
      <c r="AN46" s="16"/>
      <c r="AO46" s="16"/>
      <c r="AP46" s="16"/>
      <c r="AQ46" s="16"/>
      <c r="AR46" s="16"/>
      <c r="AS46" s="16"/>
      <c r="AT46" s="14"/>
      <c r="AU46" s="124"/>
      <c r="AV46" s="266"/>
      <c r="AW46" s="266"/>
      <c r="AX46" s="232"/>
      <c r="AY46" s="232"/>
      <c r="AZ46" s="232"/>
      <c r="BA46" s="232"/>
      <c r="BB46" s="232"/>
      <c r="BC46" s="232"/>
      <c r="BD46" s="232"/>
      <c r="BE46" s="232"/>
      <c r="BF46" s="124"/>
      <c r="BG46" s="14"/>
    </row>
    <row r="47" spans="1:59" ht="15" customHeight="1" x14ac:dyDescent="0.15">
      <c r="A47" s="14"/>
      <c r="B47" s="186"/>
      <c r="C47" s="275" t="s">
        <v>51</v>
      </c>
      <c r="D47" s="282"/>
      <c r="E47" s="282"/>
      <c r="F47" s="282"/>
      <c r="G47" s="186"/>
      <c r="H47" s="14"/>
      <c r="I47" s="124"/>
      <c r="J47" s="266"/>
      <c r="K47" s="266"/>
      <c r="L47" s="266"/>
      <c r="M47" s="266"/>
      <c r="N47" s="266"/>
      <c r="O47" s="266"/>
      <c r="P47" s="266"/>
      <c r="Q47" s="124"/>
      <c r="R47" s="20"/>
      <c r="S47" s="20"/>
      <c r="T47" s="20"/>
      <c r="U47" s="20"/>
      <c r="V47" s="20"/>
      <c r="W47" s="14"/>
      <c r="X47" s="20"/>
      <c r="Y47" s="20"/>
      <c r="Z47" s="20"/>
      <c r="AA47" s="20"/>
      <c r="AB47" s="20"/>
      <c r="AC47" s="20"/>
      <c r="AD47" s="20"/>
      <c r="AE47" s="14"/>
      <c r="AF47" s="14"/>
      <c r="AG47" s="14"/>
      <c r="AH47" s="14"/>
      <c r="AI47" s="14"/>
      <c r="AJ47" s="14"/>
      <c r="AK47" s="14"/>
      <c r="AL47" s="14"/>
      <c r="AM47" s="14"/>
      <c r="AN47" s="14"/>
      <c r="AO47" s="14"/>
      <c r="AP47" s="14"/>
      <c r="AQ47" s="14"/>
      <c r="AR47" s="14"/>
      <c r="AS47" s="14"/>
      <c r="AT47" s="14"/>
      <c r="AU47" s="124"/>
      <c r="AV47" s="266"/>
      <c r="AW47" s="266"/>
      <c r="AX47" s="232"/>
      <c r="AY47" s="232"/>
      <c r="AZ47" s="232"/>
      <c r="BA47" s="232"/>
      <c r="BB47" s="232"/>
      <c r="BC47" s="232"/>
      <c r="BD47" s="232"/>
      <c r="BE47" s="232"/>
      <c r="BF47" s="124"/>
      <c r="BG47" s="14"/>
    </row>
    <row r="48" spans="1:59" ht="15" customHeight="1" x14ac:dyDescent="0.15">
      <c r="A48" s="14"/>
      <c r="B48" s="186"/>
      <c r="C48" s="275"/>
      <c r="D48" s="282"/>
      <c r="E48" s="282"/>
      <c r="F48" s="282"/>
      <c r="G48" s="186"/>
      <c r="H48" s="14"/>
      <c r="I48" s="124"/>
      <c r="J48" s="266"/>
      <c r="K48" s="266"/>
      <c r="L48" s="266"/>
      <c r="M48" s="266"/>
      <c r="N48" s="266"/>
      <c r="O48" s="266"/>
      <c r="P48" s="266"/>
      <c r="Q48" s="124"/>
      <c r="R48" s="14"/>
      <c r="S48" s="20"/>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24"/>
      <c r="AV48" s="266"/>
      <c r="AW48" s="266"/>
      <c r="AX48" s="232"/>
      <c r="AY48" s="232"/>
      <c r="AZ48" s="232"/>
      <c r="BA48" s="232"/>
      <c r="BB48" s="232"/>
      <c r="BC48" s="232"/>
      <c r="BD48" s="232"/>
      <c r="BE48" s="232"/>
      <c r="BF48" s="124"/>
      <c r="BG48" s="14"/>
    </row>
    <row r="49" spans="1:59" ht="15" customHeight="1" x14ac:dyDescent="0.15">
      <c r="A49" s="14"/>
      <c r="B49" s="186"/>
      <c r="C49" s="275"/>
      <c r="D49" s="282"/>
      <c r="E49" s="282"/>
      <c r="F49" s="282"/>
      <c r="G49" s="186"/>
      <c r="H49" s="14"/>
      <c r="I49" s="124"/>
      <c r="J49" s="266"/>
      <c r="K49" s="266"/>
      <c r="L49" s="266"/>
      <c r="M49" s="266"/>
      <c r="N49" s="266"/>
      <c r="O49" s="266"/>
      <c r="P49" s="266"/>
      <c r="Q49" s="124"/>
      <c r="R49" s="14"/>
      <c r="S49" s="20"/>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24"/>
      <c r="AV49" s="266"/>
      <c r="AW49" s="266"/>
      <c r="AX49" s="232"/>
      <c r="AY49" s="232"/>
      <c r="AZ49" s="232"/>
      <c r="BA49" s="232"/>
      <c r="BB49" s="232"/>
      <c r="BC49" s="232"/>
      <c r="BD49" s="232"/>
      <c r="BE49" s="232"/>
      <c r="BF49" s="124"/>
      <c r="BG49" s="14"/>
    </row>
    <row r="50" spans="1:59" ht="15" customHeight="1" x14ac:dyDescent="0.15">
      <c r="A50" s="14"/>
      <c r="B50" s="186"/>
      <c r="C50" s="16"/>
      <c r="D50" s="16"/>
      <c r="E50" s="16"/>
      <c r="F50" s="16"/>
      <c r="G50" s="186"/>
      <c r="H50" s="14"/>
      <c r="I50" s="124"/>
      <c r="J50" s="266"/>
      <c r="K50" s="266"/>
      <c r="L50" s="266"/>
      <c r="M50" s="266"/>
      <c r="N50" s="266"/>
      <c r="O50" s="266"/>
      <c r="P50" s="266"/>
      <c r="Q50" s="12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24"/>
      <c r="AV50" s="124"/>
      <c r="AW50" s="124"/>
      <c r="AX50" s="124"/>
      <c r="AY50" s="124"/>
      <c r="AZ50" s="124"/>
      <c r="BA50" s="124"/>
      <c r="BB50" s="124"/>
      <c r="BC50" s="124"/>
      <c r="BD50" s="124"/>
      <c r="BE50" s="124"/>
      <c r="BF50" s="124"/>
      <c r="BG50" s="14"/>
    </row>
    <row r="51" spans="1:59" ht="15" customHeight="1" x14ac:dyDescent="0.15">
      <c r="A51" s="14"/>
      <c r="B51" s="14"/>
      <c r="C51" s="14"/>
      <c r="D51" s="14"/>
      <c r="E51" s="14"/>
      <c r="F51" s="14"/>
      <c r="G51" s="14"/>
      <c r="H51" s="14"/>
      <c r="I51" s="124"/>
      <c r="J51" s="266"/>
      <c r="K51" s="266"/>
      <c r="L51" s="266"/>
      <c r="M51" s="266"/>
      <c r="N51" s="266"/>
      <c r="O51" s="266"/>
      <c r="P51" s="266"/>
      <c r="Q51" s="12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row>
    <row r="52" spans="1:59" ht="15" customHeight="1" x14ac:dyDescent="0.15">
      <c r="A52" s="14"/>
      <c r="B52" s="14"/>
      <c r="C52" s="14"/>
      <c r="D52" s="14"/>
      <c r="E52" s="14"/>
      <c r="F52" s="14"/>
      <c r="G52" s="14"/>
      <c r="H52" s="14"/>
      <c r="I52" s="124"/>
      <c r="J52" s="266"/>
      <c r="K52" s="266"/>
      <c r="L52" s="266"/>
      <c r="M52" s="266"/>
      <c r="N52" s="266"/>
      <c r="O52" s="266"/>
      <c r="P52" s="266"/>
      <c r="Q52" s="12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row>
    <row r="53" spans="1:59" ht="15" customHeight="1" x14ac:dyDescent="0.15">
      <c r="A53" s="14"/>
      <c r="B53" s="14"/>
      <c r="C53" s="14"/>
      <c r="D53" s="14"/>
      <c r="E53" s="14"/>
      <c r="F53" s="14"/>
      <c r="G53" s="14"/>
      <c r="H53" s="14"/>
      <c r="I53" s="124"/>
      <c r="J53" s="281" t="s">
        <v>170</v>
      </c>
      <c r="K53" s="281"/>
      <c r="L53" s="281"/>
      <c r="M53" s="281"/>
      <c r="N53" s="281"/>
      <c r="O53" s="266"/>
      <c r="P53" s="266"/>
      <c r="Q53" s="12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row>
    <row r="54" spans="1:59" ht="15" customHeight="1" x14ac:dyDescent="0.15">
      <c r="A54" s="14"/>
      <c r="B54" s="14"/>
      <c r="C54" s="14"/>
      <c r="D54" s="14"/>
      <c r="E54" s="14"/>
      <c r="F54" s="14"/>
      <c r="G54" s="14"/>
      <c r="H54" s="14"/>
      <c r="I54" s="124"/>
      <c r="J54" s="281"/>
      <c r="K54" s="281"/>
      <c r="L54" s="281"/>
      <c r="M54" s="281"/>
      <c r="N54" s="281"/>
      <c r="O54" s="266"/>
      <c r="P54" s="266"/>
      <c r="Q54" s="12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row>
    <row r="55" spans="1:59" ht="15" customHeight="1" x14ac:dyDescent="0.15">
      <c r="A55" s="14"/>
      <c r="B55" s="14"/>
      <c r="C55" s="14"/>
      <c r="D55" s="14"/>
      <c r="E55" s="14"/>
      <c r="F55" s="14"/>
      <c r="G55" s="14"/>
      <c r="H55" s="14"/>
      <c r="I55" s="124"/>
      <c r="J55" s="16"/>
      <c r="K55" s="16"/>
      <c r="L55" s="16"/>
      <c r="M55" s="16"/>
      <c r="N55" s="16"/>
      <c r="O55" s="28"/>
      <c r="P55" s="28"/>
      <c r="Q55" s="12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row>
    <row r="56" spans="1:59" ht="15" customHeight="1" x14ac:dyDescent="0.1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row>
    <row r="57" spans="1:59" ht="15" customHeight="1" x14ac:dyDescent="0.15">
      <c r="A57" s="14"/>
      <c r="B57" s="14"/>
      <c r="C57" s="14"/>
      <c r="D57" s="14"/>
      <c r="E57" s="14"/>
      <c r="F57" s="14"/>
      <c r="G57" s="14"/>
      <c r="H57" s="14"/>
      <c r="I57" s="14"/>
      <c r="J57" s="14"/>
      <c r="K57" s="14"/>
      <c r="L57" s="14"/>
      <c r="M57" s="14"/>
      <c r="N57" s="14"/>
      <c r="O57" s="126"/>
      <c r="P57" s="126"/>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row>
  </sheetData>
  <mergeCells count="368">
    <mergeCell ref="AZ30:AZ31"/>
    <mergeCell ref="AZ26:AZ27"/>
    <mergeCell ref="AZ32:AZ33"/>
    <mergeCell ref="AZ34:AZ35"/>
    <mergeCell ref="AZ36:AZ37"/>
    <mergeCell ref="AZ20:AZ21"/>
    <mergeCell ref="AV45:AW45"/>
    <mergeCell ref="AV46:AW46"/>
    <mergeCell ref="AY20:AY21"/>
    <mergeCell ref="AY22:AY23"/>
    <mergeCell ref="AY24:AY25"/>
    <mergeCell ref="AY26:AY27"/>
    <mergeCell ref="AY28:AY29"/>
    <mergeCell ref="AY30:AY31"/>
    <mergeCell ref="AY32:AY33"/>
    <mergeCell ref="AY34:AY35"/>
    <mergeCell ref="AY36:AY37"/>
    <mergeCell ref="AW26:AX27"/>
    <mergeCell ref="AV22:AV23"/>
    <mergeCell ref="AV24:AV25"/>
    <mergeCell ref="AV26:AV27"/>
    <mergeCell ref="AV28:AV29"/>
    <mergeCell ref="AV30:AV31"/>
    <mergeCell ref="AV32:AV33"/>
    <mergeCell ref="AV34:AV35"/>
    <mergeCell ref="AW34:AX35"/>
    <mergeCell ref="AV43:AW43"/>
    <mergeCell ref="AV44:AW44"/>
    <mergeCell ref="AV47:AW47"/>
    <mergeCell ref="AV48:AW48"/>
    <mergeCell ref="AV49:AW49"/>
    <mergeCell ref="T9:U9"/>
    <mergeCell ref="Z9:AA9"/>
    <mergeCell ref="AF9:AG9"/>
    <mergeCell ref="T10:U10"/>
    <mergeCell ref="Z10:AA10"/>
    <mergeCell ref="AF10:AG10"/>
    <mergeCell ref="AN8:AN10"/>
    <mergeCell ref="T14:U14"/>
    <mergeCell ref="Z14:AA14"/>
    <mergeCell ref="AF14:AG14"/>
    <mergeCell ref="T15:U15"/>
    <mergeCell ref="Z15:AA15"/>
    <mergeCell ref="AF15:AG15"/>
    <mergeCell ref="T24:U24"/>
    <mergeCell ref="AF24:AG24"/>
    <mergeCell ref="AF25:AG25"/>
    <mergeCell ref="AF28:AG28"/>
    <mergeCell ref="AF2:AG2"/>
    <mergeCell ref="AM2:AN2"/>
    <mergeCell ref="AF3:AG3"/>
    <mergeCell ref="T7:U7"/>
    <mergeCell ref="Z7:AA7"/>
    <mergeCell ref="AO4:AR4"/>
    <mergeCell ref="AV4:AW4"/>
    <mergeCell ref="T5:U5"/>
    <mergeCell ref="Z5:AA5"/>
    <mergeCell ref="AN5:AN7"/>
    <mergeCell ref="AO5:AR7"/>
    <mergeCell ref="AX5:AX6"/>
    <mergeCell ref="BA5:BA6"/>
    <mergeCell ref="AV5:AW6"/>
    <mergeCell ref="AO8:AR10"/>
    <mergeCell ref="AZ5:AZ6"/>
    <mergeCell ref="T8:U8"/>
    <mergeCell ref="Z8:AA8"/>
    <mergeCell ref="AF8:AG8"/>
    <mergeCell ref="BD5:BD6"/>
    <mergeCell ref="BD7:BD8"/>
    <mergeCell ref="BD9:BD10"/>
    <mergeCell ref="AY5:AY6"/>
    <mergeCell ref="AY7:AY8"/>
    <mergeCell ref="AY9:AY10"/>
    <mergeCell ref="AZ7:AZ8"/>
    <mergeCell ref="AV7:AW8"/>
    <mergeCell ref="AV9:AW10"/>
    <mergeCell ref="BC5:BC6"/>
    <mergeCell ref="BB5:BB6"/>
    <mergeCell ref="C4:F14"/>
    <mergeCell ref="T11:U11"/>
    <mergeCell ref="Z11:AA11"/>
    <mergeCell ref="AF11:AG11"/>
    <mergeCell ref="T12:U12"/>
    <mergeCell ref="Z12:AA12"/>
    <mergeCell ref="AF12:AG12"/>
    <mergeCell ref="T13:U13"/>
    <mergeCell ref="Z13:AA13"/>
    <mergeCell ref="AF13:AG13"/>
    <mergeCell ref="T6:U6"/>
    <mergeCell ref="Z6:AA6"/>
    <mergeCell ref="T4:U4"/>
    <mergeCell ref="Z4:AA4"/>
    <mergeCell ref="AF4:AG4"/>
    <mergeCell ref="O4:O5"/>
    <mergeCell ref="O6:O7"/>
    <mergeCell ref="J14:J15"/>
    <mergeCell ref="K4:K5"/>
    <mergeCell ref="K6:K7"/>
    <mergeCell ref="K14:K15"/>
    <mergeCell ref="P14:P15"/>
    <mergeCell ref="C15:F15"/>
    <mergeCell ref="J4:J5"/>
    <mergeCell ref="D16:F16"/>
    <mergeCell ref="T16:U16"/>
    <mergeCell ref="Z16:AA16"/>
    <mergeCell ref="AB16:AC16"/>
    <mergeCell ref="AF16:AG16"/>
    <mergeCell ref="D17:F17"/>
    <mergeCell ref="T17:U17"/>
    <mergeCell ref="AF17:AG17"/>
    <mergeCell ref="K18:K19"/>
    <mergeCell ref="D18:F18"/>
    <mergeCell ref="J16:J17"/>
    <mergeCell ref="J18:J19"/>
    <mergeCell ref="K16:K17"/>
    <mergeCell ref="O16:O17"/>
    <mergeCell ref="O18:O19"/>
    <mergeCell ref="P16:P17"/>
    <mergeCell ref="P18:P19"/>
    <mergeCell ref="T23:U23"/>
    <mergeCell ref="AF23:AG23"/>
    <mergeCell ref="S31:U31"/>
    <mergeCell ref="AF29:AG29"/>
    <mergeCell ref="T18:U18"/>
    <mergeCell ref="AF18:AG18"/>
    <mergeCell ref="T19:U19"/>
    <mergeCell ref="AF19:AG19"/>
    <mergeCell ref="T20:U20"/>
    <mergeCell ref="Z20:AA20"/>
    <mergeCell ref="AF20:AG20"/>
    <mergeCell ref="T21:U21"/>
    <mergeCell ref="Z21:AA21"/>
    <mergeCell ref="AF21:AG21"/>
    <mergeCell ref="V24:W24"/>
    <mergeCell ref="J20:J21"/>
    <mergeCell ref="D20:F20"/>
    <mergeCell ref="Z26:AA26"/>
    <mergeCell ref="AB26:AC26"/>
    <mergeCell ref="AF26:AG26"/>
    <mergeCell ref="AF27:AG27"/>
    <mergeCell ref="V33:AB34"/>
    <mergeCell ref="T32:U32"/>
    <mergeCell ref="V32:AB32"/>
    <mergeCell ref="AF30:AG30"/>
    <mergeCell ref="AF32:AG32"/>
    <mergeCell ref="O20:O21"/>
    <mergeCell ref="P20:P21"/>
    <mergeCell ref="K20:K21"/>
    <mergeCell ref="O24:O25"/>
    <mergeCell ref="P24:P25"/>
    <mergeCell ref="D22:F22"/>
    <mergeCell ref="T22:U22"/>
    <mergeCell ref="Z22:AA22"/>
    <mergeCell ref="AB22:AC22"/>
    <mergeCell ref="AF22:AG22"/>
    <mergeCell ref="J22:J23"/>
    <mergeCell ref="K22:K23"/>
    <mergeCell ref="P22:P23"/>
    <mergeCell ref="AF42:AG42"/>
    <mergeCell ref="D47:F47"/>
    <mergeCell ref="F37:F38"/>
    <mergeCell ref="D27:D28"/>
    <mergeCell ref="C27:C28"/>
    <mergeCell ref="F27:F28"/>
    <mergeCell ref="E27:E28"/>
    <mergeCell ref="F31:F32"/>
    <mergeCell ref="C31:C32"/>
    <mergeCell ref="D31:D32"/>
    <mergeCell ref="E31:E32"/>
    <mergeCell ref="E29:E30"/>
    <mergeCell ref="C29:C30"/>
    <mergeCell ref="D29:D30"/>
    <mergeCell ref="F29:F30"/>
    <mergeCell ref="AF33:AG33"/>
    <mergeCell ref="AF34:AG34"/>
    <mergeCell ref="AF35:AG35"/>
    <mergeCell ref="J30:J31"/>
    <mergeCell ref="J32:J33"/>
    <mergeCell ref="T35:U36"/>
    <mergeCell ref="T33:U34"/>
    <mergeCell ref="T39:U40"/>
    <mergeCell ref="T41:U42"/>
    <mergeCell ref="C26:F26"/>
    <mergeCell ref="N30:N31"/>
    <mergeCell ref="N32:N33"/>
    <mergeCell ref="J44:N44"/>
    <mergeCell ref="O44:P44"/>
    <mergeCell ref="J35:P35"/>
    <mergeCell ref="J36:P37"/>
    <mergeCell ref="J38:P38"/>
    <mergeCell ref="J39:P40"/>
    <mergeCell ref="J41:P41"/>
    <mergeCell ref="J42:P43"/>
    <mergeCell ref="C43:C44"/>
    <mergeCell ref="D43:D44"/>
    <mergeCell ref="E43:E44"/>
    <mergeCell ref="F43:F44"/>
    <mergeCell ref="O32:P33"/>
    <mergeCell ref="K30:M31"/>
    <mergeCell ref="O30:P31"/>
    <mergeCell ref="K32:M33"/>
    <mergeCell ref="AN44:AN45"/>
    <mergeCell ref="O49:P50"/>
    <mergeCell ref="T43:U44"/>
    <mergeCell ref="O51:P52"/>
    <mergeCell ref="J53:N54"/>
    <mergeCell ref="D49:F49"/>
    <mergeCell ref="AW36:AX37"/>
    <mergeCell ref="J49:N50"/>
    <mergeCell ref="V41:AB42"/>
    <mergeCell ref="AF43:AJ45"/>
    <mergeCell ref="AO44:AR45"/>
    <mergeCell ref="O53:P54"/>
    <mergeCell ref="F39:F40"/>
    <mergeCell ref="F41:F42"/>
    <mergeCell ref="J51:N52"/>
    <mergeCell ref="J47:N48"/>
    <mergeCell ref="AN38:AN40"/>
    <mergeCell ref="AN41:AN43"/>
    <mergeCell ref="V39:AB40"/>
    <mergeCell ref="AV36:AV37"/>
    <mergeCell ref="AO41:AR43"/>
    <mergeCell ref="J45:N46"/>
    <mergeCell ref="O45:P46"/>
    <mergeCell ref="D45:D46"/>
    <mergeCell ref="C47:C49"/>
    <mergeCell ref="E33:E34"/>
    <mergeCell ref="E35:E36"/>
    <mergeCell ref="E37:E38"/>
    <mergeCell ref="E39:E40"/>
    <mergeCell ref="E41:E42"/>
    <mergeCell ref="D33:D34"/>
    <mergeCell ref="D35:D36"/>
    <mergeCell ref="D37:D38"/>
    <mergeCell ref="D39:D40"/>
    <mergeCell ref="D41:D42"/>
    <mergeCell ref="D48:F48"/>
    <mergeCell ref="F35:F36"/>
    <mergeCell ref="C33:C34"/>
    <mergeCell ref="C35:C36"/>
    <mergeCell ref="C37:C38"/>
    <mergeCell ref="C39:C40"/>
    <mergeCell ref="C41:C42"/>
    <mergeCell ref="F45:F46"/>
    <mergeCell ref="F33:F34"/>
    <mergeCell ref="C45:C46"/>
    <mergeCell ref="E45:E46"/>
    <mergeCell ref="J6:J7"/>
    <mergeCell ref="J8:J9"/>
    <mergeCell ref="J10:J11"/>
    <mergeCell ref="J12:J13"/>
    <mergeCell ref="P4:P5"/>
    <mergeCell ref="P6:P7"/>
    <mergeCell ref="P8:P9"/>
    <mergeCell ref="P10:P11"/>
    <mergeCell ref="P12:P13"/>
    <mergeCell ref="K8:K9"/>
    <mergeCell ref="K10:K11"/>
    <mergeCell ref="K12:K13"/>
    <mergeCell ref="O8:O9"/>
    <mergeCell ref="O10:O11"/>
    <mergeCell ref="O12:O13"/>
    <mergeCell ref="O14:O15"/>
    <mergeCell ref="AN11:AN13"/>
    <mergeCell ref="AN14:AN16"/>
    <mergeCell ref="AN17:AN19"/>
    <mergeCell ref="AN20:AN22"/>
    <mergeCell ref="BE9:BE10"/>
    <mergeCell ref="BE11:BE12"/>
    <mergeCell ref="BE13:BE14"/>
    <mergeCell ref="BE20:BE21"/>
    <mergeCell ref="BE22:BE23"/>
    <mergeCell ref="BA11:BA12"/>
    <mergeCell ref="BA13:BA14"/>
    <mergeCell ref="AO23:AR25"/>
    <mergeCell ref="AW24:AX25"/>
    <mergeCell ref="AO14:AR16"/>
    <mergeCell ref="AN23:AN25"/>
    <mergeCell ref="AW20:AX21"/>
    <mergeCell ref="AV11:AW12"/>
    <mergeCell ref="AO20:AR22"/>
    <mergeCell ref="AW19:AX19"/>
    <mergeCell ref="BB20:BB37"/>
    <mergeCell ref="BA26:BA27"/>
    <mergeCell ref="AZ9:AZ10"/>
    <mergeCell ref="AZ11:AZ12"/>
    <mergeCell ref="AZ13:AZ14"/>
    <mergeCell ref="AZ22:AZ23"/>
    <mergeCell ref="AZ24:AZ25"/>
    <mergeCell ref="BC13:BC14"/>
    <mergeCell ref="BC19:BD19"/>
    <mergeCell ref="BC7:BC8"/>
    <mergeCell ref="BA7:BA8"/>
    <mergeCell ref="BA9:BA10"/>
    <mergeCell ref="AX7:AX8"/>
    <mergeCell ref="AX9:AX10"/>
    <mergeCell ref="AX11:AX12"/>
    <mergeCell ref="AX13:AX14"/>
    <mergeCell ref="BD11:BD12"/>
    <mergeCell ref="BD13:BD14"/>
    <mergeCell ref="BA20:BA21"/>
    <mergeCell ref="BA22:BA23"/>
    <mergeCell ref="BA24:BA25"/>
    <mergeCell ref="AY11:AY12"/>
    <mergeCell ref="AY13:AY14"/>
    <mergeCell ref="BC20:BD21"/>
    <mergeCell ref="BC22:BD23"/>
    <mergeCell ref="BC24:BD25"/>
    <mergeCell ref="BB7:BB8"/>
    <mergeCell ref="BB9:BB10"/>
    <mergeCell ref="BB11:BB12"/>
    <mergeCell ref="BB13:BB14"/>
    <mergeCell ref="BC9:BC10"/>
    <mergeCell ref="BE5:BE6"/>
    <mergeCell ref="BE28:BE29"/>
    <mergeCell ref="BE7:BE8"/>
    <mergeCell ref="BE24:BE25"/>
    <mergeCell ref="BE26:BE27"/>
    <mergeCell ref="BC26:BD27"/>
    <mergeCell ref="BC28:BD29"/>
    <mergeCell ref="AV42:AW42"/>
    <mergeCell ref="AX42:AY42"/>
    <mergeCell ref="AN26:AN28"/>
    <mergeCell ref="AN29:AN31"/>
    <mergeCell ref="AN32:AN34"/>
    <mergeCell ref="AN35:AN37"/>
    <mergeCell ref="BE30:BE31"/>
    <mergeCell ref="BE32:BE33"/>
    <mergeCell ref="BE34:BE35"/>
    <mergeCell ref="BE36:BE37"/>
    <mergeCell ref="BC34:BD35"/>
    <mergeCell ref="BC36:BD37"/>
    <mergeCell ref="AO26:AR28"/>
    <mergeCell ref="AZ42:BA42"/>
    <mergeCell ref="BB42:BC42"/>
    <mergeCell ref="BD42:BE42"/>
    <mergeCell ref="BC30:BD31"/>
    <mergeCell ref="BC32:BD33"/>
    <mergeCell ref="BA28:BA29"/>
    <mergeCell ref="BA30:BA31"/>
    <mergeCell ref="BA32:BA33"/>
    <mergeCell ref="BA34:BA35"/>
    <mergeCell ref="BA36:BA37"/>
    <mergeCell ref="AZ28:AZ29"/>
    <mergeCell ref="AO11:AR13"/>
    <mergeCell ref="BC11:BC12"/>
    <mergeCell ref="AV20:AV21"/>
    <mergeCell ref="O47:P48"/>
    <mergeCell ref="V43:AB44"/>
    <mergeCell ref="AF36:AG36"/>
    <mergeCell ref="AF37:AG37"/>
    <mergeCell ref="AF38:AG38"/>
    <mergeCell ref="AF39:AG39"/>
    <mergeCell ref="AF40:AG40"/>
    <mergeCell ref="AF31:AG31"/>
    <mergeCell ref="AW22:AX23"/>
    <mergeCell ref="AV13:AW14"/>
    <mergeCell ref="T37:U38"/>
    <mergeCell ref="AO35:AR37"/>
    <mergeCell ref="AO32:AR34"/>
    <mergeCell ref="V37:AB38"/>
    <mergeCell ref="V35:AB36"/>
    <mergeCell ref="AW28:AX29"/>
    <mergeCell ref="AO17:AR19"/>
    <mergeCell ref="AW30:AX31"/>
    <mergeCell ref="AW32:AX33"/>
    <mergeCell ref="AO38:AR40"/>
    <mergeCell ref="AO29:AR31"/>
  </mergeCells>
  <phoneticPr fontId="33" type="noConversion"/>
  <conditionalFormatting sqref="J36 J39 J42">
    <cfRule type="expression" dxfId="7" priority="1">
      <formula>$P$5="健康"</formula>
    </cfRule>
    <cfRule type="expression" dxfId="6" priority="2">
      <formula>$P$5="轻伤"</formula>
    </cfRule>
    <cfRule type="expression" dxfId="5" priority="3">
      <formula>$P$5="重伤"</formula>
    </cfRule>
    <cfRule type="expression" dxfId="4" priority="4">
      <formula>$P$5="致命伤"</formula>
    </cfRule>
  </conditionalFormatting>
  <pageMargins left="0.75" right="0.75" top="1" bottom="1" header="0.5" footer="0.5"/>
  <ignoredErrors>
    <ignoredError sqref="X19 AJ11:AJ13 AJ31:AJ32"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5"/>
  <sheetViews>
    <sheetView zoomScaleNormal="100" workbookViewId="0">
      <selection activeCell="D19" sqref="D19:L19"/>
    </sheetView>
  </sheetViews>
  <sheetFormatPr defaultColWidth="8.875" defaultRowHeight="15" customHeight="1" x14ac:dyDescent="0.15"/>
  <cols>
    <col min="1" max="2" width="2.625" style="35" customWidth="1"/>
    <col min="3" max="3" width="25.625" style="35" customWidth="1"/>
    <col min="4" max="4" width="8.625" style="35" customWidth="1"/>
    <col min="5" max="5" width="17.625" style="35" customWidth="1"/>
    <col min="6" max="6" width="10.625" style="35" customWidth="1"/>
    <col min="7" max="7" width="15.125" style="35" bestFit="1" customWidth="1"/>
    <col min="8" max="10" width="8.625" style="35" customWidth="1"/>
    <col min="11" max="11" width="10.625" style="35" customWidth="1"/>
    <col min="12" max="12" width="8.625" style="35" customWidth="1"/>
    <col min="13" max="14" width="9.625" style="35" customWidth="1"/>
    <col min="15" max="16" width="2.625" style="35" customWidth="1"/>
    <col min="17" max="16384" width="8.875" style="35"/>
  </cols>
  <sheetData>
    <row r="1" spans="2:17" ht="15" customHeight="1" x14ac:dyDescent="0.15">
      <c r="Q1"/>
    </row>
    <row r="2" spans="2:17" ht="15" customHeight="1" x14ac:dyDescent="0.15">
      <c r="B2" s="129"/>
      <c r="C2" s="129" t="s">
        <v>171</v>
      </c>
      <c r="D2" s="313" t="s">
        <v>731</v>
      </c>
      <c r="E2" s="313"/>
      <c r="F2" s="313"/>
      <c r="G2" s="313"/>
      <c r="H2" s="313"/>
      <c r="I2" s="313"/>
      <c r="J2" s="313"/>
      <c r="K2" s="313"/>
      <c r="L2" s="313"/>
      <c r="M2" s="313"/>
      <c r="N2" s="313"/>
      <c r="O2" s="313"/>
    </row>
    <row r="3" spans="2:17" ht="15" customHeight="1" x14ac:dyDescent="0.15">
      <c r="B3" s="137"/>
      <c r="C3" s="137"/>
      <c r="D3" s="137"/>
      <c r="E3" s="137"/>
      <c r="F3" s="137"/>
      <c r="G3" s="137"/>
      <c r="H3" s="137"/>
      <c r="I3" s="137"/>
      <c r="J3" s="137"/>
      <c r="K3" s="137"/>
      <c r="L3" s="137"/>
      <c r="M3" s="137"/>
      <c r="N3" s="137"/>
      <c r="O3" s="137"/>
    </row>
    <row r="4" spans="2:17" ht="15" customHeight="1" x14ac:dyDescent="0.15">
      <c r="B4" s="137"/>
      <c r="C4" s="156" t="s">
        <v>48</v>
      </c>
      <c r="D4" s="156" t="s">
        <v>725</v>
      </c>
      <c r="E4" s="156" t="s">
        <v>338</v>
      </c>
      <c r="F4" s="156" t="s">
        <v>745</v>
      </c>
      <c r="G4" s="156" t="s">
        <v>726</v>
      </c>
      <c r="H4" s="156" t="s">
        <v>727</v>
      </c>
      <c r="I4" s="156" t="s">
        <v>717</v>
      </c>
      <c r="J4" s="156" t="s">
        <v>728</v>
      </c>
      <c r="K4" s="156" t="s">
        <v>671</v>
      </c>
      <c r="L4" s="156" t="s">
        <v>49</v>
      </c>
      <c r="M4" s="156" t="s">
        <v>52</v>
      </c>
      <c r="N4" s="156" t="s">
        <v>729</v>
      </c>
      <c r="O4" s="137"/>
    </row>
    <row r="5" spans="2:17" ht="15" customHeight="1" x14ac:dyDescent="0.15">
      <c r="B5" s="137"/>
      <c r="C5" s="164" t="s">
        <v>718</v>
      </c>
      <c r="D5" s="164" t="s">
        <v>719</v>
      </c>
      <c r="E5" s="164" t="s">
        <v>720</v>
      </c>
      <c r="F5" s="164">
        <v>3</v>
      </c>
      <c r="G5" s="164" t="s">
        <v>721</v>
      </c>
      <c r="H5" s="164">
        <v>-1</v>
      </c>
      <c r="I5" s="164" t="s">
        <v>722</v>
      </c>
      <c r="J5" s="164">
        <v>2</v>
      </c>
      <c r="K5" s="164" t="s">
        <v>723</v>
      </c>
      <c r="L5" s="164" t="s">
        <v>724</v>
      </c>
      <c r="M5" s="164" t="s">
        <v>65</v>
      </c>
      <c r="N5" s="164" t="s">
        <v>730</v>
      </c>
      <c r="O5" s="137"/>
    </row>
    <row r="6" spans="2:17" ht="15" customHeight="1" x14ac:dyDescent="0.15">
      <c r="B6" s="137"/>
      <c r="C6" s="310" t="s">
        <v>34</v>
      </c>
      <c r="D6" s="311"/>
      <c r="E6" s="311"/>
      <c r="F6" s="311"/>
      <c r="G6" s="311"/>
      <c r="H6" s="311"/>
      <c r="I6" s="311"/>
      <c r="J6" s="311"/>
      <c r="K6" s="311"/>
      <c r="L6" s="311"/>
      <c r="M6" s="311"/>
      <c r="N6" s="312"/>
      <c r="O6" s="137"/>
    </row>
    <row r="7" spans="2:17" ht="50.1" customHeight="1" x14ac:dyDescent="0.15">
      <c r="B7" s="137"/>
      <c r="C7" s="307" t="s">
        <v>758</v>
      </c>
      <c r="D7" s="308"/>
      <c r="E7" s="308"/>
      <c r="F7" s="308"/>
      <c r="G7" s="308"/>
      <c r="H7" s="308"/>
      <c r="I7" s="308"/>
      <c r="J7" s="308"/>
      <c r="K7" s="308"/>
      <c r="L7" s="308"/>
      <c r="M7" s="308"/>
      <c r="N7" s="309"/>
      <c r="O7" s="137"/>
    </row>
    <row r="8" spans="2:17" ht="15" customHeight="1" x14ac:dyDescent="0.15">
      <c r="B8" s="137"/>
      <c r="C8" s="160" t="s">
        <v>733</v>
      </c>
      <c r="D8" s="306" t="s">
        <v>732</v>
      </c>
      <c r="E8" s="306"/>
      <c r="F8" s="306"/>
      <c r="G8" s="306"/>
      <c r="H8" s="306"/>
      <c r="I8" s="306"/>
      <c r="J8" s="306"/>
      <c r="K8" s="306"/>
      <c r="L8" s="306"/>
      <c r="M8" s="168" t="s">
        <v>181</v>
      </c>
      <c r="N8" s="168" t="s">
        <v>182</v>
      </c>
      <c r="O8" s="137"/>
    </row>
    <row r="9" spans="2:17" ht="30" customHeight="1" x14ac:dyDescent="0.15">
      <c r="B9" s="137"/>
      <c r="C9" s="164" t="s">
        <v>734</v>
      </c>
      <c r="D9" s="314" t="s">
        <v>736</v>
      </c>
      <c r="E9" s="315"/>
      <c r="F9" s="315"/>
      <c r="G9" s="315"/>
      <c r="H9" s="315"/>
      <c r="I9" s="315"/>
      <c r="J9" s="315"/>
      <c r="K9" s="315"/>
      <c r="L9" s="316"/>
      <c r="M9" s="166" t="s">
        <v>735</v>
      </c>
      <c r="N9" s="166">
        <v>1</v>
      </c>
      <c r="O9" s="137"/>
    </row>
    <row r="10" spans="2:17" ht="30" customHeight="1" x14ac:dyDescent="0.15">
      <c r="B10" s="137"/>
      <c r="C10" s="164" t="s">
        <v>737</v>
      </c>
      <c r="D10" s="305" t="s">
        <v>739</v>
      </c>
      <c r="E10" s="305"/>
      <c r="F10" s="305"/>
      <c r="G10" s="305"/>
      <c r="H10" s="305"/>
      <c r="I10" s="305"/>
      <c r="J10" s="305"/>
      <c r="K10" s="305"/>
      <c r="L10" s="305"/>
      <c r="M10" s="166" t="s">
        <v>738</v>
      </c>
      <c r="N10" s="166">
        <v>1</v>
      </c>
      <c r="O10" s="137"/>
    </row>
    <row r="11" spans="2:17" ht="30" customHeight="1" x14ac:dyDescent="0.15">
      <c r="B11" s="137"/>
      <c r="C11" s="164"/>
      <c r="D11" s="305"/>
      <c r="E11" s="305"/>
      <c r="F11" s="305"/>
      <c r="G11" s="305"/>
      <c r="H11" s="305"/>
      <c r="I11" s="305"/>
      <c r="J11" s="305"/>
      <c r="K11" s="305"/>
      <c r="L11" s="305"/>
      <c r="M11" s="166"/>
      <c r="N11" s="166"/>
      <c r="O11" s="137"/>
    </row>
    <row r="12" spans="2:17" ht="30" customHeight="1" x14ac:dyDescent="0.15">
      <c r="B12" s="137"/>
      <c r="C12" s="164"/>
      <c r="D12" s="305"/>
      <c r="E12" s="305"/>
      <c r="F12" s="305"/>
      <c r="G12" s="305"/>
      <c r="H12" s="305"/>
      <c r="I12" s="305"/>
      <c r="J12" s="305"/>
      <c r="K12" s="305"/>
      <c r="L12" s="305"/>
      <c r="M12" s="166"/>
      <c r="N12" s="166"/>
      <c r="O12" s="137"/>
    </row>
    <row r="13" spans="2:17" ht="30" customHeight="1" x14ac:dyDescent="0.15">
      <c r="B13" s="137"/>
      <c r="C13" s="164"/>
      <c r="D13" s="305"/>
      <c r="E13" s="305"/>
      <c r="F13" s="305"/>
      <c r="G13" s="305"/>
      <c r="H13" s="305"/>
      <c r="I13" s="305"/>
      <c r="J13" s="305"/>
      <c r="K13" s="305"/>
      <c r="L13" s="305"/>
      <c r="M13" s="166"/>
      <c r="N13" s="166"/>
      <c r="O13" s="137"/>
      <c r="Q13"/>
    </row>
    <row r="14" spans="2:17" ht="15" customHeight="1" x14ac:dyDescent="0.15">
      <c r="B14" s="137"/>
      <c r="C14" s="156" t="s">
        <v>48</v>
      </c>
      <c r="D14" s="156" t="s">
        <v>725</v>
      </c>
      <c r="E14" s="156" t="s">
        <v>338</v>
      </c>
      <c r="F14" s="156" t="s">
        <v>744</v>
      </c>
      <c r="G14" s="156" t="s">
        <v>726</v>
      </c>
      <c r="H14" s="156" t="s">
        <v>727</v>
      </c>
      <c r="I14" s="156" t="s">
        <v>717</v>
      </c>
      <c r="J14" s="156" t="s">
        <v>728</v>
      </c>
      <c r="K14" s="156" t="s">
        <v>671</v>
      </c>
      <c r="L14" s="156" t="s">
        <v>49</v>
      </c>
      <c r="M14" s="156" t="s">
        <v>52</v>
      </c>
      <c r="N14" s="156" t="s">
        <v>174</v>
      </c>
      <c r="O14" s="137"/>
    </row>
    <row r="15" spans="2:17" ht="15" customHeight="1" x14ac:dyDescent="0.15">
      <c r="B15" s="137"/>
      <c r="C15" s="164" t="s">
        <v>742</v>
      </c>
      <c r="D15" s="164" t="s">
        <v>743</v>
      </c>
      <c r="E15" s="164" t="s">
        <v>746</v>
      </c>
      <c r="F15" s="164">
        <v>2</v>
      </c>
      <c r="G15" s="164"/>
      <c r="H15" s="164" t="s">
        <v>856</v>
      </c>
      <c r="I15" s="164" t="s">
        <v>722</v>
      </c>
      <c r="J15" s="164"/>
      <c r="K15" s="164"/>
      <c r="L15" s="164" t="s">
        <v>747</v>
      </c>
      <c r="M15" s="164" t="s">
        <v>748</v>
      </c>
      <c r="N15" s="164" t="s">
        <v>730</v>
      </c>
      <c r="O15" s="137"/>
    </row>
    <row r="16" spans="2:17" ht="15" customHeight="1" x14ac:dyDescent="0.15">
      <c r="B16" s="137"/>
      <c r="C16" s="310" t="s">
        <v>34</v>
      </c>
      <c r="D16" s="311"/>
      <c r="E16" s="311"/>
      <c r="F16" s="311"/>
      <c r="G16" s="311"/>
      <c r="H16" s="311"/>
      <c r="I16" s="311"/>
      <c r="J16" s="311"/>
      <c r="K16" s="311"/>
      <c r="L16" s="311"/>
      <c r="M16" s="311"/>
      <c r="N16" s="312"/>
      <c r="O16" s="137"/>
    </row>
    <row r="17" spans="2:15" ht="50.1" customHeight="1" x14ac:dyDescent="0.15">
      <c r="B17" s="137"/>
      <c r="C17" s="307" t="s">
        <v>759</v>
      </c>
      <c r="D17" s="308"/>
      <c r="E17" s="308"/>
      <c r="F17" s="308"/>
      <c r="G17" s="308"/>
      <c r="H17" s="308"/>
      <c r="I17" s="308"/>
      <c r="J17" s="308"/>
      <c r="K17" s="308"/>
      <c r="L17" s="308"/>
      <c r="M17" s="308"/>
      <c r="N17" s="309"/>
      <c r="O17" s="137"/>
    </row>
    <row r="18" spans="2:15" ht="15" customHeight="1" x14ac:dyDescent="0.15">
      <c r="B18" s="137"/>
      <c r="C18" s="160" t="s">
        <v>733</v>
      </c>
      <c r="D18" s="306" t="s">
        <v>732</v>
      </c>
      <c r="E18" s="306"/>
      <c r="F18" s="306"/>
      <c r="G18" s="306"/>
      <c r="H18" s="306"/>
      <c r="I18" s="306"/>
      <c r="J18" s="306"/>
      <c r="K18" s="306"/>
      <c r="L18" s="306"/>
      <c r="M18" s="168" t="s">
        <v>181</v>
      </c>
      <c r="N18" s="168" t="s">
        <v>182</v>
      </c>
      <c r="O18" s="137"/>
    </row>
    <row r="19" spans="2:15" ht="30" customHeight="1" x14ac:dyDescent="0.15">
      <c r="B19" s="137"/>
      <c r="C19" s="164" t="s">
        <v>752</v>
      </c>
      <c r="D19" s="305" t="s">
        <v>753</v>
      </c>
      <c r="E19" s="305"/>
      <c r="F19" s="305"/>
      <c r="G19" s="305"/>
      <c r="H19" s="305"/>
      <c r="I19" s="305"/>
      <c r="J19" s="305"/>
      <c r="K19" s="305"/>
      <c r="L19" s="305"/>
      <c r="M19" s="166" t="s">
        <v>754</v>
      </c>
      <c r="N19" s="166" t="s">
        <v>139</v>
      </c>
      <c r="O19" s="137"/>
    </row>
    <row r="20" spans="2:15" ht="30" customHeight="1" x14ac:dyDescent="0.15">
      <c r="B20" s="137"/>
      <c r="C20" s="164"/>
      <c r="D20" s="305"/>
      <c r="E20" s="305"/>
      <c r="F20" s="305"/>
      <c r="G20" s="305"/>
      <c r="H20" s="305"/>
      <c r="I20" s="305"/>
      <c r="J20" s="305"/>
      <c r="K20" s="305"/>
      <c r="L20" s="305"/>
      <c r="M20" s="166"/>
      <c r="N20" s="166"/>
      <c r="O20" s="137"/>
    </row>
    <row r="21" spans="2:15" ht="30" customHeight="1" x14ac:dyDescent="0.15">
      <c r="B21" s="137"/>
      <c r="C21" s="164"/>
      <c r="D21" s="305"/>
      <c r="E21" s="305"/>
      <c r="F21" s="305"/>
      <c r="G21" s="305"/>
      <c r="H21" s="305"/>
      <c r="I21" s="305"/>
      <c r="J21" s="305"/>
      <c r="K21" s="305"/>
      <c r="L21" s="305"/>
      <c r="M21" s="166"/>
      <c r="N21" s="166"/>
      <c r="O21" s="137"/>
    </row>
    <row r="22" spans="2:15" ht="30" customHeight="1" x14ac:dyDescent="0.15">
      <c r="B22" s="137"/>
      <c r="C22" s="164"/>
      <c r="D22" s="305"/>
      <c r="E22" s="305"/>
      <c r="F22" s="305"/>
      <c r="G22" s="305"/>
      <c r="H22" s="305"/>
      <c r="I22" s="305"/>
      <c r="J22" s="305"/>
      <c r="K22" s="305"/>
      <c r="L22" s="305"/>
      <c r="M22" s="166"/>
      <c r="N22" s="166"/>
      <c r="O22" s="137"/>
    </row>
    <row r="23" spans="2:15" ht="30" customHeight="1" x14ac:dyDescent="0.15">
      <c r="B23" s="137"/>
      <c r="C23" s="164"/>
      <c r="D23" s="305"/>
      <c r="E23" s="305"/>
      <c r="F23" s="305"/>
      <c r="G23" s="305"/>
      <c r="H23" s="305"/>
      <c r="I23" s="305"/>
      <c r="J23" s="305"/>
      <c r="K23" s="305"/>
      <c r="L23" s="305"/>
      <c r="M23" s="166"/>
      <c r="N23" s="166"/>
      <c r="O23" s="137"/>
    </row>
    <row r="24" spans="2:15" ht="15" customHeight="1" x14ac:dyDescent="0.15">
      <c r="B24" s="38"/>
      <c r="C24" s="156" t="s">
        <v>48</v>
      </c>
      <c r="D24" s="156" t="s">
        <v>725</v>
      </c>
      <c r="E24" s="156" t="s">
        <v>338</v>
      </c>
      <c r="F24" s="156" t="s">
        <v>744</v>
      </c>
      <c r="G24" s="156" t="s">
        <v>726</v>
      </c>
      <c r="H24" s="156" t="s">
        <v>727</v>
      </c>
      <c r="I24" s="156" t="s">
        <v>717</v>
      </c>
      <c r="J24" s="156" t="s">
        <v>728</v>
      </c>
      <c r="K24" s="156" t="s">
        <v>671</v>
      </c>
      <c r="L24" s="156" t="s">
        <v>49</v>
      </c>
      <c r="M24" s="156" t="s">
        <v>52</v>
      </c>
      <c r="N24" s="156" t="s">
        <v>174</v>
      </c>
      <c r="O24" s="38"/>
    </row>
    <row r="25" spans="2:15" ht="15" customHeight="1" x14ac:dyDescent="0.15">
      <c r="B25" s="38"/>
      <c r="C25" s="164" t="s">
        <v>760</v>
      </c>
      <c r="D25" s="164" t="s">
        <v>743</v>
      </c>
      <c r="E25" s="164" t="s">
        <v>749</v>
      </c>
      <c r="F25" s="164" t="s">
        <v>761</v>
      </c>
      <c r="G25" s="164"/>
      <c r="H25" s="164" t="s">
        <v>855</v>
      </c>
      <c r="I25" s="164" t="s">
        <v>750</v>
      </c>
      <c r="J25" s="164"/>
      <c r="K25" s="164"/>
      <c r="L25" s="164" t="s">
        <v>763</v>
      </c>
      <c r="M25" s="164" t="s">
        <v>414</v>
      </c>
      <c r="N25" s="164" t="s">
        <v>751</v>
      </c>
      <c r="O25" s="38"/>
    </row>
    <row r="26" spans="2:15" ht="15" customHeight="1" x14ac:dyDescent="0.15">
      <c r="B26" s="137"/>
      <c r="C26" s="310" t="s">
        <v>34</v>
      </c>
      <c r="D26" s="311"/>
      <c r="E26" s="311"/>
      <c r="F26" s="311"/>
      <c r="G26" s="311"/>
      <c r="H26" s="311"/>
      <c r="I26" s="311"/>
      <c r="J26" s="311"/>
      <c r="K26" s="311"/>
      <c r="L26" s="311"/>
      <c r="M26" s="311"/>
      <c r="N26" s="312"/>
      <c r="O26" s="137"/>
    </row>
    <row r="27" spans="2:15" ht="50.1" customHeight="1" x14ac:dyDescent="0.15">
      <c r="B27" s="137"/>
      <c r="C27" s="307" t="s">
        <v>762</v>
      </c>
      <c r="D27" s="308"/>
      <c r="E27" s="308"/>
      <c r="F27" s="308"/>
      <c r="G27" s="308"/>
      <c r="H27" s="308"/>
      <c r="I27" s="308"/>
      <c r="J27" s="308"/>
      <c r="K27" s="308"/>
      <c r="L27" s="308"/>
      <c r="M27" s="308"/>
      <c r="N27" s="309"/>
      <c r="O27" s="137"/>
    </row>
    <row r="28" spans="2:15" ht="15" customHeight="1" x14ac:dyDescent="0.15">
      <c r="B28" s="152"/>
      <c r="C28" s="160" t="s">
        <v>733</v>
      </c>
      <c r="D28" s="306" t="s">
        <v>732</v>
      </c>
      <c r="E28" s="306"/>
      <c r="F28" s="306"/>
      <c r="G28" s="306"/>
      <c r="H28" s="306"/>
      <c r="I28" s="306"/>
      <c r="J28" s="306"/>
      <c r="K28" s="306"/>
      <c r="L28" s="306"/>
      <c r="M28" s="168" t="s">
        <v>181</v>
      </c>
      <c r="N28" s="168" t="s">
        <v>182</v>
      </c>
      <c r="O28" s="153"/>
    </row>
    <row r="29" spans="2:15" ht="30" customHeight="1" x14ac:dyDescent="0.15">
      <c r="B29" s="137"/>
      <c r="C29" s="164" t="s">
        <v>752</v>
      </c>
      <c r="D29" s="305" t="s">
        <v>753</v>
      </c>
      <c r="E29" s="305"/>
      <c r="F29" s="305"/>
      <c r="G29" s="305"/>
      <c r="H29" s="305"/>
      <c r="I29" s="305"/>
      <c r="J29" s="305"/>
      <c r="K29" s="305"/>
      <c r="L29" s="305"/>
      <c r="M29" s="166" t="s">
        <v>754</v>
      </c>
      <c r="N29" s="166" t="s">
        <v>139</v>
      </c>
      <c r="O29" s="137"/>
    </row>
    <row r="30" spans="2:15" ht="30" customHeight="1" x14ac:dyDescent="0.15">
      <c r="B30" s="137"/>
      <c r="C30" s="164"/>
      <c r="D30" s="305"/>
      <c r="E30" s="305"/>
      <c r="F30" s="305"/>
      <c r="G30" s="305"/>
      <c r="H30" s="305"/>
      <c r="I30" s="305"/>
      <c r="J30" s="305"/>
      <c r="K30" s="305"/>
      <c r="L30" s="305"/>
      <c r="M30" s="166"/>
      <c r="N30" s="166"/>
      <c r="O30" s="137"/>
    </row>
    <row r="31" spans="2:15" ht="30" customHeight="1" x14ac:dyDescent="0.15">
      <c r="B31" s="137"/>
      <c r="C31" s="164"/>
      <c r="D31" s="305"/>
      <c r="E31" s="305"/>
      <c r="F31" s="305"/>
      <c r="G31" s="305"/>
      <c r="H31" s="305"/>
      <c r="I31" s="305"/>
      <c r="J31" s="305"/>
      <c r="K31" s="305"/>
      <c r="L31" s="305"/>
      <c r="M31" s="166"/>
      <c r="N31" s="166"/>
      <c r="O31" s="137"/>
    </row>
    <row r="32" spans="2:15" ht="30" customHeight="1" x14ac:dyDescent="0.15">
      <c r="B32" s="137"/>
      <c r="C32" s="164"/>
      <c r="D32" s="305"/>
      <c r="E32" s="305"/>
      <c r="F32" s="305"/>
      <c r="G32" s="305"/>
      <c r="H32" s="305"/>
      <c r="I32" s="305"/>
      <c r="J32" s="305"/>
      <c r="K32" s="305"/>
      <c r="L32" s="305"/>
      <c r="M32" s="166"/>
      <c r="N32" s="166"/>
      <c r="O32" s="137"/>
    </row>
    <row r="33" spans="1:15" ht="30" customHeight="1" x14ac:dyDescent="0.15">
      <c r="B33" s="137"/>
      <c r="C33" s="164"/>
      <c r="D33" s="305"/>
      <c r="E33" s="305"/>
      <c r="F33" s="305"/>
      <c r="G33" s="305"/>
      <c r="H33" s="305"/>
      <c r="I33" s="305"/>
      <c r="J33" s="305"/>
      <c r="K33" s="305"/>
      <c r="L33" s="305"/>
      <c r="M33" s="166"/>
      <c r="N33" s="166"/>
      <c r="O33" s="137"/>
    </row>
    <row r="34" spans="1:15" ht="15" customHeight="1" x14ac:dyDescent="0.15">
      <c r="A34" s="161"/>
      <c r="B34" s="137"/>
      <c r="C34" s="156" t="s">
        <v>48</v>
      </c>
      <c r="D34" s="156" t="s">
        <v>725</v>
      </c>
      <c r="E34" s="156" t="s">
        <v>338</v>
      </c>
      <c r="F34" s="156" t="s">
        <v>744</v>
      </c>
      <c r="G34" s="156" t="s">
        <v>726</v>
      </c>
      <c r="H34" s="156" t="s">
        <v>727</v>
      </c>
      <c r="I34" s="156" t="s">
        <v>717</v>
      </c>
      <c r="J34" s="156" t="s">
        <v>728</v>
      </c>
      <c r="K34" s="156" t="s">
        <v>671</v>
      </c>
      <c r="L34" s="156" t="s">
        <v>49</v>
      </c>
      <c r="M34" s="156" t="s">
        <v>52</v>
      </c>
      <c r="N34" s="156" t="s">
        <v>174</v>
      </c>
      <c r="O34" s="137"/>
    </row>
    <row r="35" spans="1:15" ht="15" customHeight="1" x14ac:dyDescent="0.15">
      <c r="A35" s="161"/>
      <c r="B35" s="137"/>
      <c r="C35" s="164"/>
      <c r="D35" s="164"/>
      <c r="E35" s="164"/>
      <c r="F35" s="164"/>
      <c r="G35" s="164"/>
      <c r="H35" s="164"/>
      <c r="I35" s="164"/>
      <c r="J35" s="164"/>
      <c r="K35" s="164"/>
      <c r="L35" s="164"/>
      <c r="M35" s="164"/>
      <c r="N35" s="164"/>
      <c r="O35" s="137"/>
    </row>
    <row r="36" spans="1:15" ht="15" customHeight="1" x14ac:dyDescent="0.15">
      <c r="B36" s="137"/>
      <c r="C36" s="310" t="s">
        <v>34</v>
      </c>
      <c r="D36" s="311"/>
      <c r="E36" s="311"/>
      <c r="F36" s="311"/>
      <c r="G36" s="311"/>
      <c r="H36" s="311"/>
      <c r="I36" s="311"/>
      <c r="J36" s="311"/>
      <c r="K36" s="311"/>
      <c r="L36" s="311"/>
      <c r="M36" s="311"/>
      <c r="N36" s="312"/>
      <c r="O36" s="137"/>
    </row>
    <row r="37" spans="1:15" ht="50.1" customHeight="1" x14ac:dyDescent="0.15">
      <c r="B37" s="137"/>
      <c r="C37" s="307"/>
      <c r="D37" s="308"/>
      <c r="E37" s="308"/>
      <c r="F37" s="308"/>
      <c r="G37" s="308"/>
      <c r="H37" s="308"/>
      <c r="I37" s="308"/>
      <c r="J37" s="308"/>
      <c r="K37" s="308"/>
      <c r="L37" s="308"/>
      <c r="M37" s="308"/>
      <c r="N37" s="309"/>
      <c r="O37" s="137"/>
    </row>
    <row r="38" spans="1:15" ht="15" customHeight="1" x14ac:dyDescent="0.15">
      <c r="A38" s="161"/>
      <c r="B38" s="137"/>
      <c r="C38" s="160" t="s">
        <v>733</v>
      </c>
      <c r="D38" s="306" t="s">
        <v>732</v>
      </c>
      <c r="E38" s="306"/>
      <c r="F38" s="306"/>
      <c r="G38" s="306"/>
      <c r="H38" s="306"/>
      <c r="I38" s="306"/>
      <c r="J38" s="306"/>
      <c r="K38" s="306"/>
      <c r="L38" s="306"/>
      <c r="M38" s="168" t="s">
        <v>181</v>
      </c>
      <c r="N38" s="168" t="s">
        <v>182</v>
      </c>
      <c r="O38" s="137"/>
    </row>
    <row r="39" spans="1:15" ht="30" customHeight="1" x14ac:dyDescent="0.15">
      <c r="A39" s="161"/>
      <c r="B39" s="137"/>
      <c r="C39" s="164"/>
      <c r="D39" s="305"/>
      <c r="E39" s="305"/>
      <c r="F39" s="305"/>
      <c r="G39" s="305"/>
      <c r="H39" s="305"/>
      <c r="I39" s="305"/>
      <c r="J39" s="305"/>
      <c r="K39" s="305"/>
      <c r="L39" s="305"/>
      <c r="M39" s="166"/>
      <c r="N39" s="166"/>
      <c r="O39" s="137"/>
    </row>
    <row r="40" spans="1:15" ht="30" customHeight="1" x14ac:dyDescent="0.15">
      <c r="A40" s="161"/>
      <c r="B40" s="137"/>
      <c r="C40" s="164"/>
      <c r="D40" s="305"/>
      <c r="E40" s="305"/>
      <c r="F40" s="305"/>
      <c r="G40" s="305"/>
      <c r="H40" s="305"/>
      <c r="I40" s="305"/>
      <c r="J40" s="305"/>
      <c r="K40" s="305"/>
      <c r="L40" s="305"/>
      <c r="M40" s="166"/>
      <c r="N40" s="166"/>
      <c r="O40" s="137"/>
    </row>
    <row r="41" spans="1:15" ht="30" customHeight="1" x14ac:dyDescent="0.15">
      <c r="A41" s="161"/>
      <c r="B41" s="137"/>
      <c r="C41" s="164"/>
      <c r="D41" s="305"/>
      <c r="E41" s="305"/>
      <c r="F41" s="305"/>
      <c r="G41" s="305"/>
      <c r="H41" s="305"/>
      <c r="I41" s="305"/>
      <c r="J41" s="305"/>
      <c r="K41" s="305"/>
      <c r="L41" s="305"/>
      <c r="M41" s="166"/>
      <c r="N41" s="166"/>
      <c r="O41" s="137"/>
    </row>
    <row r="42" spans="1:15" ht="30" customHeight="1" x14ac:dyDescent="0.15">
      <c r="A42" s="161"/>
      <c r="B42" s="137"/>
      <c r="C42" s="164"/>
      <c r="D42" s="305"/>
      <c r="E42" s="305"/>
      <c r="F42" s="305"/>
      <c r="G42" s="305"/>
      <c r="H42" s="305"/>
      <c r="I42" s="305"/>
      <c r="J42" s="305"/>
      <c r="K42" s="305"/>
      <c r="L42" s="305"/>
      <c r="M42" s="166"/>
      <c r="N42" s="166"/>
      <c r="O42" s="137"/>
    </row>
    <row r="43" spans="1:15" ht="30" customHeight="1" x14ac:dyDescent="0.15">
      <c r="A43" s="161"/>
      <c r="B43" s="137"/>
      <c r="C43" s="164"/>
      <c r="D43" s="305"/>
      <c r="E43" s="305"/>
      <c r="F43" s="305"/>
      <c r="G43" s="305"/>
      <c r="H43" s="305"/>
      <c r="I43" s="305"/>
      <c r="J43" s="305"/>
      <c r="K43" s="305"/>
      <c r="L43" s="305"/>
      <c r="M43" s="166"/>
      <c r="N43" s="166"/>
      <c r="O43" s="137"/>
    </row>
    <row r="44" spans="1:15" ht="15" customHeight="1" x14ac:dyDescent="0.15">
      <c r="A44" s="161"/>
      <c r="B44" s="137"/>
      <c r="C44" s="137"/>
      <c r="D44" s="137"/>
      <c r="E44" s="137"/>
      <c r="F44" s="137"/>
      <c r="G44" s="137"/>
      <c r="H44" s="137"/>
      <c r="I44" s="137"/>
      <c r="J44" s="137"/>
      <c r="K44" s="137"/>
      <c r="L44" s="137"/>
      <c r="M44" s="137"/>
      <c r="N44" s="137"/>
      <c r="O44" s="137"/>
    </row>
    <row r="45" spans="1:15" ht="15" customHeight="1" x14ac:dyDescent="0.15">
      <c r="A45" s="161"/>
      <c r="C45" s="161"/>
      <c r="D45" s="161"/>
      <c r="E45" s="161"/>
      <c r="F45" s="161"/>
      <c r="G45" s="161"/>
      <c r="H45" s="161"/>
      <c r="I45" s="161"/>
      <c r="J45" s="161"/>
      <c r="K45" s="161"/>
      <c r="L45" s="161"/>
      <c r="M45" s="161"/>
      <c r="N45" s="161"/>
      <c r="O45" s="128"/>
    </row>
  </sheetData>
  <mergeCells count="33">
    <mergeCell ref="C6:N6"/>
    <mergeCell ref="C7:N7"/>
    <mergeCell ref="C16:N16"/>
    <mergeCell ref="C17:N17"/>
    <mergeCell ref="C26:N26"/>
    <mergeCell ref="D22:L22"/>
    <mergeCell ref="C27:N27"/>
    <mergeCell ref="C36:N36"/>
    <mergeCell ref="C37:N37"/>
    <mergeCell ref="D11:L11"/>
    <mergeCell ref="D2:O2"/>
    <mergeCell ref="D18:L18"/>
    <mergeCell ref="D12:L12"/>
    <mergeCell ref="D13:L13"/>
    <mergeCell ref="D8:L8"/>
    <mergeCell ref="D9:L9"/>
    <mergeCell ref="D10:L10"/>
    <mergeCell ref="D23:L23"/>
    <mergeCell ref="D19:L19"/>
    <mergeCell ref="D20:L20"/>
    <mergeCell ref="D21:L21"/>
    <mergeCell ref="D32:L32"/>
    <mergeCell ref="D33:L33"/>
    <mergeCell ref="D28:L28"/>
    <mergeCell ref="D29:L29"/>
    <mergeCell ref="D30:L30"/>
    <mergeCell ref="D38:L38"/>
    <mergeCell ref="D31:L31"/>
    <mergeCell ref="D39:L39"/>
    <mergeCell ref="D40:L40"/>
    <mergeCell ref="D41:L41"/>
    <mergeCell ref="D42:L42"/>
    <mergeCell ref="D43:L43"/>
  </mergeCells>
  <phoneticPr fontId="33"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A154A-157F-467B-9163-9414F3C7D86E}">
  <dimension ref="A1:N45"/>
  <sheetViews>
    <sheetView zoomScaleNormal="100" workbookViewId="0">
      <selection activeCell="D15" sqref="D15"/>
    </sheetView>
  </sheetViews>
  <sheetFormatPr defaultColWidth="8.875" defaultRowHeight="15" customHeight="1" x14ac:dyDescent="0.15"/>
  <cols>
    <col min="1" max="1" width="2.625" style="35" customWidth="1"/>
    <col min="2" max="2" width="2.625" style="161" customWidth="1"/>
    <col min="3" max="3" width="8.625" style="161" customWidth="1"/>
    <col min="4" max="4" width="20.625" style="161" customWidth="1"/>
    <col min="5" max="9" width="8.625" style="35" customWidth="1"/>
    <col min="10" max="10" width="80.625" style="35" customWidth="1"/>
    <col min="11" max="11" width="30.625" style="35" customWidth="1"/>
    <col min="12" max="13" width="2.625" style="35" customWidth="1"/>
    <col min="14" max="16384" width="8.875" style="35"/>
  </cols>
  <sheetData>
    <row r="1" spans="2:14" ht="15" customHeight="1" x14ac:dyDescent="0.15">
      <c r="N1"/>
    </row>
    <row r="2" spans="2:14" ht="15" customHeight="1" x14ac:dyDescent="0.15">
      <c r="B2" s="129"/>
      <c r="C2" s="129" t="s">
        <v>106</v>
      </c>
      <c r="D2" s="36"/>
      <c r="E2" s="167" t="s">
        <v>755</v>
      </c>
      <c r="F2" s="167"/>
      <c r="G2" s="167"/>
      <c r="H2" s="167"/>
      <c r="I2" s="167"/>
      <c r="J2" s="167"/>
      <c r="K2" s="167"/>
      <c r="L2" s="167"/>
    </row>
    <row r="3" spans="2:14" ht="15" customHeight="1" x14ac:dyDescent="0.15">
      <c r="B3" s="137"/>
      <c r="C3" s="137"/>
      <c r="D3" s="137"/>
      <c r="E3" s="137"/>
      <c r="F3" s="137"/>
      <c r="G3" s="137"/>
      <c r="H3" s="137"/>
      <c r="I3" s="137"/>
      <c r="J3" s="137"/>
      <c r="K3" s="137"/>
      <c r="L3" s="137"/>
    </row>
    <row r="4" spans="2:14" ht="15" customHeight="1" x14ac:dyDescent="0.15">
      <c r="B4" s="137"/>
      <c r="C4" s="156" t="s">
        <v>177</v>
      </c>
      <c r="D4" s="156" t="s">
        <v>114</v>
      </c>
      <c r="E4" s="156" t="s">
        <v>773</v>
      </c>
      <c r="F4" s="156" t="s">
        <v>756</v>
      </c>
      <c r="G4" s="156" t="s">
        <v>178</v>
      </c>
      <c r="H4" s="156" t="s">
        <v>179</v>
      </c>
      <c r="I4" s="156" t="s">
        <v>757</v>
      </c>
      <c r="J4" s="156" t="s">
        <v>633</v>
      </c>
      <c r="K4" s="156" t="s">
        <v>180</v>
      </c>
      <c r="L4" s="137"/>
    </row>
    <row r="5" spans="2:14" ht="45" customHeight="1" x14ac:dyDescent="0.15">
      <c r="B5" s="137"/>
      <c r="C5" s="156" t="s">
        <v>121</v>
      </c>
      <c r="D5" s="133" t="s">
        <v>770</v>
      </c>
      <c r="E5" s="133" t="s">
        <v>543</v>
      </c>
      <c r="F5" s="133" t="s">
        <v>543</v>
      </c>
      <c r="G5" s="170">
        <v>11</v>
      </c>
      <c r="H5" s="170">
        <v>1</v>
      </c>
      <c r="I5" s="133" t="s">
        <v>139</v>
      </c>
      <c r="J5" s="133" t="s">
        <v>771</v>
      </c>
      <c r="K5" s="169" t="s">
        <v>772</v>
      </c>
      <c r="L5" s="137"/>
    </row>
    <row r="6" spans="2:14" ht="45" customHeight="1" x14ac:dyDescent="0.15">
      <c r="B6" s="137"/>
      <c r="C6" s="156" t="s">
        <v>127</v>
      </c>
      <c r="D6" s="133"/>
      <c r="E6" s="133"/>
      <c r="F6" s="133"/>
      <c r="G6" s="170"/>
      <c r="H6" s="170"/>
      <c r="I6" s="133"/>
      <c r="J6" s="133"/>
      <c r="K6" s="169"/>
      <c r="L6" s="137"/>
      <c r="N6"/>
    </row>
    <row r="7" spans="2:14" ht="45" customHeight="1" x14ac:dyDescent="0.15">
      <c r="B7" s="137"/>
      <c r="C7" s="156" t="s">
        <v>133</v>
      </c>
      <c r="D7" s="133" t="s">
        <v>764</v>
      </c>
      <c r="E7" s="133" t="s">
        <v>559</v>
      </c>
      <c r="F7" s="133" t="s">
        <v>765</v>
      </c>
      <c r="G7" s="170" t="s">
        <v>766</v>
      </c>
      <c r="H7" s="170">
        <v>0</v>
      </c>
      <c r="I7" s="133" t="s">
        <v>767</v>
      </c>
      <c r="J7" s="133" t="s">
        <v>768</v>
      </c>
      <c r="K7" s="169" t="s">
        <v>769</v>
      </c>
      <c r="L7" s="137"/>
    </row>
    <row r="8" spans="2:14" ht="45" customHeight="1" x14ac:dyDescent="0.15">
      <c r="B8" s="137"/>
      <c r="C8" s="156" t="s">
        <v>143</v>
      </c>
      <c r="D8" s="133"/>
      <c r="E8" s="133"/>
      <c r="F8" s="133"/>
      <c r="G8" s="170"/>
      <c r="H8" s="170"/>
      <c r="I8" s="133"/>
      <c r="J8" s="133"/>
      <c r="K8" s="169"/>
      <c r="L8" s="137"/>
    </row>
    <row r="9" spans="2:14" ht="45" customHeight="1" x14ac:dyDescent="0.15">
      <c r="B9" s="137"/>
      <c r="C9" s="156" t="s">
        <v>150</v>
      </c>
      <c r="D9" s="133" t="s">
        <v>764</v>
      </c>
      <c r="E9" s="133" t="s">
        <v>559</v>
      </c>
      <c r="F9" s="133" t="s">
        <v>765</v>
      </c>
      <c r="G9" s="170" t="s">
        <v>766</v>
      </c>
      <c r="H9" s="170">
        <v>0</v>
      </c>
      <c r="I9" s="133" t="s">
        <v>767</v>
      </c>
      <c r="J9" s="133" t="s">
        <v>768</v>
      </c>
      <c r="K9" s="169" t="s">
        <v>769</v>
      </c>
      <c r="L9" s="137"/>
    </row>
    <row r="10" spans="2:14" ht="45" customHeight="1" x14ac:dyDescent="0.15">
      <c r="B10" s="137"/>
      <c r="C10" s="156" t="s">
        <v>154</v>
      </c>
      <c r="D10" s="133" t="s">
        <v>774</v>
      </c>
      <c r="E10" s="133" t="s">
        <v>559</v>
      </c>
      <c r="F10" s="133" t="s">
        <v>765</v>
      </c>
      <c r="G10" s="170" t="s">
        <v>775</v>
      </c>
      <c r="H10" s="170">
        <v>2</v>
      </c>
      <c r="I10" s="133" t="s">
        <v>776</v>
      </c>
      <c r="J10" s="133" t="s">
        <v>777</v>
      </c>
      <c r="K10" s="169" t="s">
        <v>778</v>
      </c>
      <c r="L10" s="137"/>
    </row>
    <row r="11" spans="2:14" ht="45" customHeight="1" x14ac:dyDescent="0.15">
      <c r="B11" s="137"/>
      <c r="C11" s="156" t="s">
        <v>159</v>
      </c>
      <c r="D11" s="133"/>
      <c r="E11" s="133"/>
      <c r="F11" s="133"/>
      <c r="G11" s="170"/>
      <c r="H11" s="170"/>
      <c r="I11" s="133"/>
      <c r="J11" s="133"/>
      <c r="K11" s="169"/>
      <c r="L11" s="137"/>
    </row>
    <row r="12" spans="2:14" ht="45" customHeight="1" x14ac:dyDescent="0.15">
      <c r="B12" s="137"/>
      <c r="C12" s="156" t="s">
        <v>163</v>
      </c>
      <c r="D12" s="133"/>
      <c r="E12" s="133"/>
      <c r="F12" s="133"/>
      <c r="G12" s="170"/>
      <c r="H12" s="170"/>
      <c r="I12" s="133"/>
      <c r="J12" s="133"/>
      <c r="K12" s="169"/>
      <c r="L12" s="137"/>
    </row>
    <row r="13" spans="2:14" ht="15" customHeight="1" x14ac:dyDescent="0.15">
      <c r="B13" s="137"/>
      <c r="C13" s="137"/>
      <c r="D13" s="137"/>
      <c r="E13" s="137"/>
      <c r="F13" s="137"/>
      <c r="G13" s="137"/>
      <c r="H13" s="137"/>
      <c r="I13" s="137"/>
      <c r="J13" s="137"/>
      <c r="K13" s="137"/>
      <c r="L13" s="137"/>
    </row>
    <row r="15" spans="2:14" ht="15" customHeight="1" x14ac:dyDescent="0.15">
      <c r="B15" s="129"/>
      <c r="C15" s="129" t="s">
        <v>198</v>
      </c>
      <c r="D15" s="171" t="s">
        <v>199</v>
      </c>
      <c r="E15" s="167" t="s">
        <v>755</v>
      </c>
      <c r="F15" s="167"/>
      <c r="G15" s="167"/>
      <c r="H15" s="167"/>
      <c r="I15" s="167"/>
      <c r="J15" s="167"/>
      <c r="K15" s="167"/>
      <c r="L15" s="167"/>
    </row>
    <row r="16" spans="2:14" ht="15" customHeight="1" x14ac:dyDescent="0.15">
      <c r="B16" s="137"/>
      <c r="C16" s="137"/>
      <c r="D16" s="137"/>
      <c r="E16" s="137"/>
      <c r="F16" s="137"/>
      <c r="G16" s="137"/>
      <c r="H16" s="137"/>
      <c r="I16" s="137"/>
      <c r="J16" s="137"/>
      <c r="K16" s="137"/>
      <c r="L16" s="137"/>
    </row>
    <row r="17" spans="1:12" ht="15" customHeight="1" x14ac:dyDescent="0.15">
      <c r="B17" s="137"/>
      <c r="C17" s="156" t="s">
        <v>177</v>
      </c>
      <c r="D17" s="156" t="s">
        <v>114</v>
      </c>
      <c r="E17" s="156" t="s">
        <v>773</v>
      </c>
      <c r="F17" s="156" t="s">
        <v>786</v>
      </c>
      <c r="G17" s="156" t="s">
        <v>178</v>
      </c>
      <c r="H17" s="156" t="s">
        <v>179</v>
      </c>
      <c r="I17" s="156" t="s">
        <v>757</v>
      </c>
      <c r="J17" s="156" t="s">
        <v>633</v>
      </c>
      <c r="K17" s="156" t="s">
        <v>180</v>
      </c>
      <c r="L17" s="137"/>
    </row>
    <row r="18" spans="1:12" ht="45" customHeight="1" x14ac:dyDescent="0.15">
      <c r="B18" s="137"/>
      <c r="C18" s="156" t="s">
        <v>201</v>
      </c>
      <c r="D18" s="133" t="s">
        <v>779</v>
      </c>
      <c r="E18" s="133" t="s">
        <v>780</v>
      </c>
      <c r="F18" s="133" t="s">
        <v>792</v>
      </c>
      <c r="G18" s="170">
        <v>0</v>
      </c>
      <c r="H18" s="170">
        <v>0</v>
      </c>
      <c r="I18" s="133" t="s">
        <v>781</v>
      </c>
      <c r="J18" s="133" t="s">
        <v>782</v>
      </c>
      <c r="K18" s="169" t="s">
        <v>783</v>
      </c>
      <c r="L18" s="137"/>
    </row>
    <row r="19" spans="1:12" ht="45" customHeight="1" x14ac:dyDescent="0.15">
      <c r="B19" s="137"/>
      <c r="C19" s="156" t="s">
        <v>202</v>
      </c>
      <c r="D19" s="133"/>
      <c r="E19" s="133"/>
      <c r="F19" s="133"/>
      <c r="G19" s="170"/>
      <c r="H19" s="170"/>
      <c r="I19" s="133"/>
      <c r="J19" s="133"/>
      <c r="K19" s="169"/>
      <c r="L19" s="137"/>
    </row>
    <row r="20" spans="1:12" ht="45" customHeight="1" x14ac:dyDescent="0.15">
      <c r="B20" s="137"/>
      <c r="C20" s="156" t="s">
        <v>203</v>
      </c>
      <c r="D20" s="133" t="s">
        <v>784</v>
      </c>
      <c r="E20" s="133" t="s">
        <v>569</v>
      </c>
      <c r="F20" s="133" t="s">
        <v>787</v>
      </c>
      <c r="G20" s="170">
        <v>4</v>
      </c>
      <c r="H20" s="170">
        <v>0</v>
      </c>
      <c r="I20" s="133" t="s">
        <v>767</v>
      </c>
      <c r="J20" s="133" t="s">
        <v>788</v>
      </c>
      <c r="K20" s="169" t="s">
        <v>790</v>
      </c>
      <c r="L20" s="137"/>
    </row>
    <row r="21" spans="1:12" ht="45" customHeight="1" x14ac:dyDescent="0.15">
      <c r="B21" s="137"/>
      <c r="C21" s="156" t="s">
        <v>204</v>
      </c>
      <c r="D21" s="133" t="s">
        <v>785</v>
      </c>
      <c r="E21" s="133" t="s">
        <v>569</v>
      </c>
      <c r="F21" s="133" t="s">
        <v>787</v>
      </c>
      <c r="G21" s="170">
        <v>4</v>
      </c>
      <c r="H21" s="170">
        <v>0</v>
      </c>
      <c r="I21" s="133" t="s">
        <v>776</v>
      </c>
      <c r="J21" s="133" t="s">
        <v>789</v>
      </c>
      <c r="K21" s="169" t="s">
        <v>791</v>
      </c>
      <c r="L21" s="137"/>
    </row>
    <row r="22" spans="1:12" ht="45" customHeight="1" x14ac:dyDescent="0.15">
      <c r="B22" s="137"/>
      <c r="C22" s="156" t="s">
        <v>205</v>
      </c>
      <c r="D22" s="133"/>
      <c r="E22" s="133"/>
      <c r="F22" s="133"/>
      <c r="G22" s="170"/>
      <c r="H22" s="170"/>
      <c r="I22" s="133"/>
      <c r="J22" s="133"/>
      <c r="K22" s="169"/>
      <c r="L22" s="137"/>
    </row>
    <row r="23" spans="1:12" ht="15" customHeight="1" x14ac:dyDescent="0.15">
      <c r="A23" s="161"/>
      <c r="B23" s="137"/>
      <c r="C23" s="163"/>
      <c r="D23" s="38"/>
      <c r="E23" s="38"/>
      <c r="F23" s="38"/>
      <c r="G23" s="38"/>
      <c r="H23" s="38"/>
      <c r="I23" s="38"/>
      <c r="J23" s="38"/>
      <c r="K23" s="38"/>
      <c r="L23" s="137"/>
    </row>
    <row r="24" spans="1:12" ht="15" customHeight="1" x14ac:dyDescent="0.15">
      <c r="E24" s="162"/>
      <c r="F24" s="162"/>
      <c r="G24" s="162"/>
    </row>
    <row r="25" spans="1:12" ht="15" customHeight="1" x14ac:dyDescent="0.15">
      <c r="B25" s="129"/>
      <c r="C25" s="129" t="s">
        <v>793</v>
      </c>
      <c r="D25" s="171" t="s">
        <v>794</v>
      </c>
      <c r="E25" s="167" t="s">
        <v>755</v>
      </c>
      <c r="F25" s="167"/>
      <c r="G25" s="167"/>
      <c r="H25" s="167"/>
      <c r="I25" s="167"/>
      <c r="J25" s="167"/>
      <c r="K25" s="167"/>
      <c r="L25" s="167"/>
    </row>
    <row r="26" spans="1:12" ht="15" customHeight="1" x14ac:dyDescent="0.15">
      <c r="B26" s="137"/>
      <c r="C26" s="137"/>
      <c r="D26" s="137"/>
      <c r="E26" s="137"/>
      <c r="F26" s="137"/>
      <c r="G26" s="137"/>
      <c r="H26" s="137"/>
      <c r="I26" s="137"/>
      <c r="J26" s="137"/>
      <c r="K26" s="137"/>
      <c r="L26" s="137"/>
    </row>
    <row r="27" spans="1:12" ht="15" customHeight="1" x14ac:dyDescent="0.15">
      <c r="B27" s="137"/>
      <c r="C27" s="156" t="s">
        <v>177</v>
      </c>
      <c r="D27" s="156" t="s">
        <v>114</v>
      </c>
      <c r="E27" s="156" t="s">
        <v>773</v>
      </c>
      <c r="F27" s="156" t="s">
        <v>786</v>
      </c>
      <c r="G27" s="156" t="s">
        <v>178</v>
      </c>
      <c r="H27" s="156" t="s">
        <v>179</v>
      </c>
      <c r="I27" s="156" t="s">
        <v>757</v>
      </c>
      <c r="J27" s="156" t="s">
        <v>633</v>
      </c>
      <c r="K27" s="156" t="s">
        <v>180</v>
      </c>
      <c r="L27" s="137"/>
    </row>
    <row r="28" spans="1:12" ht="45" customHeight="1" x14ac:dyDescent="0.15">
      <c r="B28" s="137"/>
      <c r="C28" s="156" t="s">
        <v>201</v>
      </c>
      <c r="D28" s="133"/>
      <c r="E28" s="133"/>
      <c r="F28" s="133"/>
      <c r="G28" s="170"/>
      <c r="H28" s="170"/>
      <c r="I28" s="133"/>
      <c r="J28" s="133"/>
      <c r="K28" s="169"/>
      <c r="L28" s="137"/>
    </row>
    <row r="29" spans="1:12" ht="45" customHeight="1" x14ac:dyDescent="0.15">
      <c r="B29" s="137"/>
      <c r="C29" s="156" t="s">
        <v>202</v>
      </c>
      <c r="D29" s="133"/>
      <c r="E29" s="133"/>
      <c r="F29" s="133"/>
      <c r="G29" s="170"/>
      <c r="H29" s="170"/>
      <c r="I29" s="133"/>
      <c r="J29" s="133"/>
      <c r="K29" s="169"/>
      <c r="L29" s="137"/>
    </row>
    <row r="30" spans="1:12" ht="45" customHeight="1" x14ac:dyDescent="0.15">
      <c r="B30" s="137"/>
      <c r="C30" s="156" t="s">
        <v>203</v>
      </c>
      <c r="D30" s="133"/>
      <c r="E30" s="133"/>
      <c r="F30" s="133"/>
      <c r="G30" s="170"/>
      <c r="H30" s="170"/>
      <c r="I30" s="133"/>
      <c r="J30" s="133"/>
      <c r="K30" s="169"/>
      <c r="L30" s="137"/>
    </row>
    <row r="31" spans="1:12" ht="45" customHeight="1" x14ac:dyDescent="0.15">
      <c r="B31" s="137"/>
      <c r="C31" s="156" t="s">
        <v>204</v>
      </c>
      <c r="D31" s="133"/>
      <c r="E31" s="133"/>
      <c r="F31" s="133"/>
      <c r="G31" s="170"/>
      <c r="H31" s="170"/>
      <c r="I31" s="133"/>
      <c r="J31" s="133"/>
      <c r="K31" s="169"/>
      <c r="L31" s="137"/>
    </row>
    <row r="32" spans="1:12" ht="45" customHeight="1" x14ac:dyDescent="0.15">
      <c r="B32" s="137"/>
      <c r="C32" s="156" t="s">
        <v>205</v>
      </c>
      <c r="D32" s="133"/>
      <c r="E32" s="133"/>
      <c r="F32" s="133"/>
      <c r="G32" s="170"/>
      <c r="H32" s="170"/>
      <c r="I32" s="133"/>
      <c r="J32" s="133"/>
      <c r="K32" s="169"/>
      <c r="L32" s="137"/>
    </row>
    <row r="33" spans="1:12" ht="15" customHeight="1" x14ac:dyDescent="0.15">
      <c r="A33" s="161"/>
      <c r="B33" s="137"/>
      <c r="C33" s="163"/>
      <c r="D33" s="38"/>
      <c r="E33" s="38"/>
      <c r="F33" s="38"/>
      <c r="G33" s="38"/>
      <c r="H33" s="38"/>
      <c r="I33" s="38"/>
      <c r="J33" s="38"/>
      <c r="K33" s="38"/>
      <c r="L33" s="137"/>
    </row>
    <row r="34" spans="1:12" ht="15" customHeight="1" x14ac:dyDescent="0.15">
      <c r="E34" s="162"/>
      <c r="F34" s="162"/>
      <c r="G34" s="162"/>
    </row>
    <row r="35" spans="1:12" ht="15" customHeight="1" x14ac:dyDescent="0.15">
      <c r="E35" s="162"/>
      <c r="F35" s="162"/>
      <c r="G35" s="162"/>
    </row>
    <row r="36" spans="1:12" ht="15" customHeight="1" x14ac:dyDescent="0.15">
      <c r="E36" s="162"/>
      <c r="F36" s="162"/>
      <c r="G36" s="162"/>
    </row>
    <row r="37" spans="1:12" ht="15" customHeight="1" x14ac:dyDescent="0.15">
      <c r="E37" s="162"/>
      <c r="F37" s="162"/>
      <c r="G37" s="162"/>
    </row>
    <row r="38" spans="1:12" ht="15" customHeight="1" x14ac:dyDescent="0.15">
      <c r="E38" s="162"/>
      <c r="F38" s="162"/>
      <c r="G38" s="162"/>
    </row>
    <row r="39" spans="1:12" ht="15" customHeight="1" x14ac:dyDescent="0.15">
      <c r="E39" s="162"/>
      <c r="F39" s="162"/>
      <c r="G39" s="162"/>
    </row>
    <row r="40" spans="1:12" ht="15" customHeight="1" x14ac:dyDescent="0.15">
      <c r="E40" s="162"/>
      <c r="F40" s="162"/>
      <c r="G40" s="162"/>
    </row>
    <row r="41" spans="1:12" ht="15" customHeight="1" x14ac:dyDescent="0.15">
      <c r="E41" s="162"/>
      <c r="F41" s="162"/>
      <c r="G41" s="162"/>
    </row>
    <row r="42" spans="1:12" ht="15" customHeight="1" x14ac:dyDescent="0.15">
      <c r="E42" s="162"/>
      <c r="F42" s="162"/>
      <c r="G42" s="162"/>
    </row>
    <row r="43" spans="1:12" ht="15" customHeight="1" x14ac:dyDescent="0.15">
      <c r="E43" s="162"/>
      <c r="F43" s="162"/>
      <c r="G43" s="162"/>
    </row>
    <row r="44" spans="1:12" ht="15" customHeight="1" x14ac:dyDescent="0.15">
      <c r="E44" s="162"/>
      <c r="F44" s="162"/>
      <c r="G44" s="162"/>
    </row>
    <row r="45" spans="1:12" ht="15" customHeight="1" x14ac:dyDescent="0.15">
      <c r="E45" s="162"/>
      <c r="F45" s="162"/>
      <c r="G45" s="162"/>
    </row>
  </sheetData>
  <phoneticPr fontId="22" type="noConversion"/>
  <pageMargins left="0.75" right="0.75" top="1" bottom="1" header="0.5" footer="0.5"/>
  <ignoredErrors>
    <ignoredError sqref="G7 G9:G10" numberStoredAsText="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R48"/>
  <sheetViews>
    <sheetView workbookViewId="0">
      <pane ySplit="4" topLeftCell="A5" activePane="bottomLeft" state="frozen"/>
      <selection pane="bottomLeft" activeCell="D13" sqref="D13"/>
    </sheetView>
  </sheetViews>
  <sheetFormatPr defaultColWidth="9" defaultRowHeight="15" customHeight="1" x14ac:dyDescent="0.15"/>
  <cols>
    <col min="1" max="1" width="2.625" customWidth="1"/>
    <col min="2" max="2" width="2.125" customWidth="1"/>
    <col min="3" max="3" width="21.875" customWidth="1"/>
    <col min="4" max="4" width="60.625" customWidth="1"/>
    <col min="5" max="5" width="20.625" customWidth="1"/>
    <col min="6" max="6" width="8.875"/>
    <col min="7" max="7" width="5.125" customWidth="1"/>
    <col min="8" max="8" width="4.625" customWidth="1"/>
    <col min="9" max="9" width="2.125" customWidth="1"/>
    <col min="10" max="10" width="2.625" customWidth="1"/>
    <col min="11" max="11" width="2.125" customWidth="1"/>
    <col min="12" max="12" width="21.875" customWidth="1"/>
    <col min="13" max="13" width="60.625" customWidth="1"/>
    <col min="14" max="14" width="20.625" customWidth="1"/>
    <col min="15" max="15" width="8.875"/>
    <col min="16" max="16" width="5.125" customWidth="1"/>
    <col min="17" max="17" width="4.625" customWidth="1"/>
    <col min="18" max="18" width="2.125" customWidth="1"/>
  </cols>
  <sheetData>
    <row r="2" spans="2:18" ht="15" customHeight="1" x14ac:dyDescent="0.15">
      <c r="B2" s="318" t="s">
        <v>206</v>
      </c>
      <c r="C2" s="318"/>
      <c r="D2" s="319" t="s">
        <v>207</v>
      </c>
      <c r="E2" s="319"/>
      <c r="F2" s="319"/>
      <c r="G2" s="319"/>
      <c r="H2" s="319"/>
      <c r="I2" s="319"/>
      <c r="K2" s="318" t="s">
        <v>208</v>
      </c>
      <c r="L2" s="318"/>
      <c r="M2" s="319" t="s">
        <v>207</v>
      </c>
      <c r="N2" s="319"/>
      <c r="O2" s="319"/>
      <c r="P2" s="319"/>
      <c r="Q2" s="319"/>
      <c r="R2" s="319"/>
    </row>
    <row r="3" spans="2:18" ht="15" customHeight="1" x14ac:dyDescent="0.15">
      <c r="B3" s="3"/>
      <c r="C3" s="3"/>
      <c r="D3" s="3"/>
      <c r="E3" s="3"/>
      <c r="F3" s="3"/>
      <c r="G3" s="3"/>
      <c r="H3" s="3"/>
      <c r="I3" s="3"/>
      <c r="K3" s="3"/>
      <c r="L3" s="3"/>
      <c r="M3" s="3"/>
      <c r="N3" s="3"/>
      <c r="O3" s="3"/>
      <c r="P3" s="3"/>
      <c r="Q3" s="3"/>
      <c r="R3" s="3"/>
    </row>
    <row r="4" spans="2:18" ht="15" customHeight="1" x14ac:dyDescent="0.15">
      <c r="B4" s="3"/>
      <c r="C4" s="235" t="s">
        <v>209</v>
      </c>
      <c r="D4" s="235" t="s">
        <v>34</v>
      </c>
      <c r="E4" s="235" t="s">
        <v>51</v>
      </c>
      <c r="F4" s="235" t="s">
        <v>210</v>
      </c>
      <c r="G4" s="320" t="s">
        <v>211</v>
      </c>
      <c r="H4" s="320"/>
      <c r="I4" s="3"/>
      <c r="K4" s="3"/>
      <c r="L4" s="235" t="s">
        <v>209</v>
      </c>
      <c r="M4" s="235" t="s">
        <v>34</v>
      </c>
      <c r="N4" s="235" t="s">
        <v>51</v>
      </c>
      <c r="O4" s="235" t="s">
        <v>210</v>
      </c>
      <c r="P4" s="320" t="s">
        <v>211</v>
      </c>
      <c r="Q4" s="320"/>
      <c r="R4" s="3"/>
    </row>
    <row r="5" spans="2:18" ht="15" customHeight="1" x14ac:dyDescent="0.15">
      <c r="B5" s="3"/>
      <c r="C5" s="236"/>
      <c r="D5" s="236"/>
      <c r="E5" s="236"/>
      <c r="F5" s="236"/>
      <c r="G5" s="317"/>
      <c r="H5" s="317"/>
      <c r="I5" s="3"/>
      <c r="K5" s="3"/>
      <c r="L5" s="236"/>
      <c r="M5" s="236"/>
      <c r="N5" s="236"/>
      <c r="O5" s="236"/>
      <c r="P5" s="317"/>
      <c r="Q5" s="317"/>
      <c r="R5" s="3"/>
    </row>
    <row r="6" spans="2:18" ht="15" customHeight="1" x14ac:dyDescent="0.15">
      <c r="B6" s="3"/>
      <c r="C6" s="236"/>
      <c r="D6" s="236"/>
      <c r="E6" s="236"/>
      <c r="F6" s="236"/>
      <c r="G6" s="317"/>
      <c r="H6" s="317"/>
      <c r="I6" s="3"/>
      <c r="K6" s="3"/>
      <c r="L6" s="236"/>
      <c r="M6" s="236"/>
      <c r="N6" s="236"/>
      <c r="O6" s="236"/>
      <c r="P6" s="317"/>
      <c r="Q6" s="317"/>
      <c r="R6" s="3"/>
    </row>
    <row r="7" spans="2:18" ht="15" customHeight="1" x14ac:dyDescent="0.15">
      <c r="B7" s="3"/>
      <c r="C7" s="236"/>
      <c r="D7" s="236"/>
      <c r="E7" s="236"/>
      <c r="F7" s="236"/>
      <c r="G7" s="317"/>
      <c r="H7" s="317"/>
      <c r="I7" s="3"/>
      <c r="K7" s="3"/>
      <c r="L7" s="236"/>
      <c r="M7" s="236"/>
      <c r="N7" s="236"/>
      <c r="O7" s="236"/>
      <c r="P7" s="317"/>
      <c r="Q7" s="317"/>
      <c r="R7" s="3"/>
    </row>
    <row r="8" spans="2:18" ht="15" customHeight="1" x14ac:dyDescent="0.15">
      <c r="B8" s="3"/>
      <c r="C8" s="236"/>
      <c r="D8" s="236"/>
      <c r="E8" s="236"/>
      <c r="F8" s="236"/>
      <c r="G8" s="317"/>
      <c r="H8" s="317"/>
      <c r="I8" s="3"/>
      <c r="K8" s="3"/>
      <c r="L8" s="236"/>
      <c r="M8" s="236"/>
      <c r="N8" s="236"/>
      <c r="O8" s="236"/>
      <c r="P8" s="317"/>
      <c r="Q8" s="317"/>
      <c r="R8" s="3"/>
    </row>
    <row r="9" spans="2:18" ht="15" customHeight="1" x14ac:dyDescent="0.15">
      <c r="B9" s="3"/>
      <c r="C9" s="236"/>
      <c r="D9" s="236"/>
      <c r="E9" s="236"/>
      <c r="F9" s="236"/>
      <c r="G9" s="317"/>
      <c r="H9" s="317"/>
      <c r="I9" s="3"/>
      <c r="K9" s="3"/>
      <c r="L9" s="236"/>
      <c r="M9" s="236"/>
      <c r="N9" s="236"/>
      <c r="O9" s="236"/>
      <c r="P9" s="317"/>
      <c r="Q9" s="317"/>
      <c r="R9" s="3"/>
    </row>
    <row r="10" spans="2:18" ht="15" customHeight="1" x14ac:dyDescent="0.15">
      <c r="B10" s="3"/>
      <c r="C10" s="236"/>
      <c r="D10" s="236"/>
      <c r="E10" s="236"/>
      <c r="F10" s="236"/>
      <c r="G10" s="317"/>
      <c r="H10" s="317"/>
      <c r="I10" s="3"/>
      <c r="K10" s="3"/>
      <c r="L10" s="236"/>
      <c r="M10" s="236"/>
      <c r="N10" s="236"/>
      <c r="O10" s="236"/>
      <c r="P10" s="317"/>
      <c r="Q10" s="317"/>
      <c r="R10" s="3"/>
    </row>
    <row r="11" spans="2:18" ht="15" customHeight="1" x14ac:dyDescent="0.15">
      <c r="B11" s="3"/>
      <c r="C11" s="236"/>
      <c r="D11" s="236"/>
      <c r="E11" s="236"/>
      <c r="F11" s="236"/>
      <c r="G11" s="317"/>
      <c r="H11" s="317"/>
      <c r="I11" s="3"/>
      <c r="K11" s="3"/>
      <c r="L11" s="236"/>
      <c r="M11" s="236"/>
      <c r="N11" s="236"/>
      <c r="O11" s="236"/>
      <c r="P11" s="317"/>
      <c r="Q11" s="317"/>
      <c r="R11" s="3"/>
    </row>
    <row r="12" spans="2:18" ht="15" customHeight="1" x14ac:dyDescent="0.15">
      <c r="B12" s="3"/>
      <c r="C12" s="236"/>
      <c r="D12" s="236"/>
      <c r="E12" s="236"/>
      <c r="F12" s="236"/>
      <c r="G12" s="317"/>
      <c r="H12" s="317"/>
      <c r="I12" s="3"/>
      <c r="K12" s="3"/>
      <c r="L12" s="236"/>
      <c r="M12" s="236"/>
      <c r="N12" s="236"/>
      <c r="O12" s="236"/>
      <c r="P12" s="317"/>
      <c r="Q12" s="317"/>
      <c r="R12" s="3"/>
    </row>
    <row r="13" spans="2:18" ht="15" customHeight="1" x14ac:dyDescent="0.15">
      <c r="B13" s="3"/>
      <c r="C13" s="236"/>
      <c r="D13" s="236"/>
      <c r="E13" s="236"/>
      <c r="F13" s="236"/>
      <c r="G13" s="317"/>
      <c r="H13" s="317"/>
      <c r="I13" s="3"/>
      <c r="K13" s="3"/>
      <c r="L13" s="236"/>
      <c r="M13" s="236"/>
      <c r="N13" s="236"/>
      <c r="O13" s="236"/>
      <c r="P13" s="317"/>
      <c r="Q13" s="317"/>
      <c r="R13" s="3"/>
    </row>
    <row r="14" spans="2:18" ht="15" customHeight="1" x14ac:dyDescent="0.15">
      <c r="B14" s="3"/>
      <c r="C14" s="236"/>
      <c r="D14" s="236"/>
      <c r="E14" s="236"/>
      <c r="F14" s="236"/>
      <c r="G14" s="317"/>
      <c r="H14" s="317"/>
      <c r="I14" s="3"/>
      <c r="K14" s="3"/>
      <c r="L14" s="236"/>
      <c r="M14" s="236"/>
      <c r="N14" s="236"/>
      <c r="O14" s="236"/>
      <c r="P14" s="317"/>
      <c r="Q14" s="317"/>
      <c r="R14" s="3"/>
    </row>
    <row r="15" spans="2:18" ht="15" customHeight="1" x14ac:dyDescent="0.15">
      <c r="B15" s="3"/>
      <c r="C15" s="236"/>
      <c r="D15" s="236"/>
      <c r="E15" s="236"/>
      <c r="F15" s="236"/>
      <c r="G15" s="317"/>
      <c r="H15" s="317"/>
      <c r="I15" s="3"/>
      <c r="K15" s="3"/>
      <c r="L15" s="236"/>
      <c r="M15" s="236"/>
      <c r="N15" s="236"/>
      <c r="O15" s="236"/>
      <c r="P15" s="317"/>
      <c r="Q15" s="317"/>
      <c r="R15" s="3"/>
    </row>
    <row r="16" spans="2:18" ht="15" customHeight="1" x14ac:dyDescent="0.15">
      <c r="B16" s="3"/>
      <c r="C16" s="236"/>
      <c r="D16" s="236"/>
      <c r="E16" s="236"/>
      <c r="F16" s="236"/>
      <c r="G16" s="317"/>
      <c r="H16" s="317"/>
      <c r="I16" s="3"/>
      <c r="K16" s="3"/>
      <c r="L16" s="236"/>
      <c r="M16" s="236"/>
      <c r="N16" s="236"/>
      <c r="O16" s="236"/>
      <c r="P16" s="317"/>
      <c r="Q16" s="317"/>
      <c r="R16" s="3"/>
    </row>
    <row r="17" spans="2:18" ht="15" customHeight="1" x14ac:dyDescent="0.15">
      <c r="B17" s="3"/>
      <c r="C17" s="236"/>
      <c r="D17" s="236"/>
      <c r="E17" s="236"/>
      <c r="F17" s="236"/>
      <c r="G17" s="317"/>
      <c r="H17" s="317"/>
      <c r="I17" s="3"/>
      <c r="K17" s="3"/>
      <c r="L17" s="236"/>
      <c r="M17" s="236"/>
      <c r="N17" s="236"/>
      <c r="O17" s="236"/>
      <c r="P17" s="317"/>
      <c r="Q17" s="317"/>
      <c r="R17" s="3"/>
    </row>
    <row r="18" spans="2:18" ht="15" customHeight="1" x14ac:dyDescent="0.15">
      <c r="B18" s="3"/>
      <c r="C18" s="236"/>
      <c r="D18" s="236"/>
      <c r="E18" s="236"/>
      <c r="F18" s="236"/>
      <c r="G18" s="317"/>
      <c r="H18" s="317"/>
      <c r="I18" s="3"/>
      <c r="K18" s="3"/>
      <c r="L18" s="236"/>
      <c r="M18" s="236"/>
      <c r="N18" s="236"/>
      <c r="O18" s="236"/>
      <c r="P18" s="317"/>
      <c r="Q18" s="317"/>
      <c r="R18" s="3"/>
    </row>
    <row r="19" spans="2:18" ht="15" customHeight="1" x14ac:dyDescent="0.15">
      <c r="B19" s="3"/>
      <c r="C19" s="236"/>
      <c r="D19" s="236"/>
      <c r="E19" s="236"/>
      <c r="F19" s="236"/>
      <c r="G19" s="317"/>
      <c r="H19" s="317"/>
      <c r="I19" s="3"/>
      <c r="K19" s="3"/>
      <c r="L19" s="236"/>
      <c r="M19" s="236"/>
      <c r="N19" s="236"/>
      <c r="O19" s="236"/>
      <c r="P19" s="317"/>
      <c r="Q19" s="317"/>
      <c r="R19" s="3"/>
    </row>
    <row r="20" spans="2:18" ht="15" customHeight="1" x14ac:dyDescent="0.15">
      <c r="B20" s="3"/>
      <c r="C20" s="236"/>
      <c r="D20" s="236"/>
      <c r="E20" s="236"/>
      <c r="F20" s="236"/>
      <c r="G20" s="317"/>
      <c r="H20" s="317"/>
      <c r="I20" s="3"/>
      <c r="K20" s="3"/>
      <c r="L20" s="236"/>
      <c r="M20" s="236"/>
      <c r="N20" s="236"/>
      <c r="O20" s="236"/>
      <c r="P20" s="317"/>
      <c r="Q20" s="317"/>
      <c r="R20" s="3"/>
    </row>
    <row r="21" spans="2:18" ht="15" customHeight="1" x14ac:dyDescent="0.15">
      <c r="B21" s="3"/>
      <c r="C21" s="236"/>
      <c r="D21" s="236"/>
      <c r="E21" s="236"/>
      <c r="F21" s="236"/>
      <c r="G21" s="317"/>
      <c r="H21" s="317"/>
      <c r="I21" s="3"/>
      <c r="K21" s="3"/>
      <c r="L21" s="236"/>
      <c r="M21" s="236"/>
      <c r="N21" s="236"/>
      <c r="O21" s="236"/>
      <c r="P21" s="317"/>
      <c r="Q21" s="317"/>
      <c r="R21" s="3"/>
    </row>
    <row r="22" spans="2:18" ht="15" customHeight="1" x14ac:dyDescent="0.15">
      <c r="B22" s="3"/>
      <c r="C22" s="236"/>
      <c r="D22" s="236"/>
      <c r="E22" s="236"/>
      <c r="F22" s="236"/>
      <c r="G22" s="317"/>
      <c r="H22" s="317"/>
      <c r="I22" s="3"/>
      <c r="K22" s="3"/>
      <c r="L22" s="236"/>
      <c r="M22" s="236"/>
      <c r="N22" s="236"/>
      <c r="O22" s="236"/>
      <c r="P22" s="317"/>
      <c r="Q22" s="317"/>
      <c r="R22" s="3"/>
    </row>
    <row r="23" spans="2:18" ht="15" customHeight="1" x14ac:dyDescent="0.15">
      <c r="B23" s="3"/>
      <c r="C23" s="236"/>
      <c r="D23" s="236"/>
      <c r="E23" s="236"/>
      <c r="F23" s="236"/>
      <c r="G23" s="317"/>
      <c r="H23" s="317"/>
      <c r="I23" s="3"/>
      <c r="K23" s="3"/>
      <c r="L23" s="236"/>
      <c r="M23" s="236"/>
      <c r="N23" s="236"/>
      <c r="O23" s="236"/>
      <c r="P23" s="317"/>
      <c r="Q23" s="317"/>
      <c r="R23" s="3"/>
    </row>
    <row r="24" spans="2:18" ht="15" customHeight="1" x14ac:dyDescent="0.15">
      <c r="B24" s="3"/>
      <c r="C24" s="236"/>
      <c r="D24" s="236"/>
      <c r="E24" s="236"/>
      <c r="F24" s="236"/>
      <c r="G24" s="317"/>
      <c r="H24" s="317"/>
      <c r="I24" s="3"/>
      <c r="K24" s="3"/>
      <c r="L24" s="236"/>
      <c r="M24" s="236"/>
      <c r="N24" s="236"/>
      <c r="O24" s="236"/>
      <c r="P24" s="317"/>
      <c r="Q24" s="317"/>
      <c r="R24" s="3"/>
    </row>
    <row r="25" spans="2:18" ht="15" customHeight="1" x14ac:dyDescent="0.15">
      <c r="B25" s="3"/>
      <c r="C25" s="236"/>
      <c r="D25" s="236"/>
      <c r="E25" s="236"/>
      <c r="F25" s="236"/>
      <c r="G25" s="317"/>
      <c r="H25" s="317"/>
      <c r="I25" s="3"/>
      <c r="K25" s="3"/>
      <c r="L25" s="236"/>
      <c r="M25" s="236"/>
      <c r="N25" s="236"/>
      <c r="O25" s="236"/>
      <c r="P25" s="317"/>
      <c r="Q25" s="317"/>
      <c r="R25" s="3"/>
    </row>
    <row r="26" spans="2:18" ht="15" customHeight="1" x14ac:dyDescent="0.15">
      <c r="B26" s="3"/>
      <c r="C26" s="236"/>
      <c r="D26" s="236"/>
      <c r="E26" s="236"/>
      <c r="F26" s="236"/>
      <c r="G26" s="317"/>
      <c r="H26" s="317"/>
      <c r="I26" s="3"/>
      <c r="K26" s="3"/>
      <c r="L26" s="236"/>
      <c r="M26" s="236"/>
      <c r="N26" s="236"/>
      <c r="O26" s="236"/>
      <c r="P26" s="317"/>
      <c r="Q26" s="317"/>
      <c r="R26" s="3"/>
    </row>
    <row r="27" spans="2:18" ht="15" customHeight="1" x14ac:dyDescent="0.15">
      <c r="B27" s="3"/>
      <c r="C27" s="236"/>
      <c r="D27" s="236"/>
      <c r="E27" s="236"/>
      <c r="F27" s="236"/>
      <c r="G27" s="317"/>
      <c r="H27" s="317"/>
      <c r="I27" s="3"/>
      <c r="K27" s="3"/>
      <c r="L27" s="236"/>
      <c r="M27" s="236"/>
      <c r="N27" s="236"/>
      <c r="O27" s="236"/>
      <c r="P27" s="317"/>
      <c r="Q27" s="317"/>
      <c r="R27" s="3"/>
    </row>
    <row r="28" spans="2:18" ht="15" customHeight="1" x14ac:dyDescent="0.15">
      <c r="B28" s="3"/>
      <c r="C28" s="236"/>
      <c r="D28" s="236"/>
      <c r="E28" s="236"/>
      <c r="F28" s="236"/>
      <c r="G28" s="317"/>
      <c r="H28" s="317"/>
      <c r="I28" s="3"/>
      <c r="K28" s="3"/>
      <c r="L28" s="236"/>
      <c r="M28" s="236"/>
      <c r="N28" s="236"/>
      <c r="O28" s="236"/>
      <c r="P28" s="317"/>
      <c r="Q28" s="317"/>
      <c r="R28" s="3"/>
    </row>
    <row r="29" spans="2:18" ht="15" customHeight="1" x14ac:dyDescent="0.15">
      <c r="B29" s="3"/>
      <c r="C29" s="236"/>
      <c r="D29" s="236"/>
      <c r="E29" s="236"/>
      <c r="F29" s="236"/>
      <c r="G29" s="317"/>
      <c r="H29" s="317"/>
      <c r="I29" s="3"/>
      <c r="K29" s="3"/>
      <c r="L29" s="236"/>
      <c r="M29" s="236"/>
      <c r="N29" s="236"/>
      <c r="O29" s="236"/>
      <c r="P29" s="317"/>
      <c r="Q29" s="317"/>
      <c r="R29" s="3"/>
    </row>
    <row r="30" spans="2:18" ht="15" customHeight="1" x14ac:dyDescent="0.15">
      <c r="B30" s="3"/>
      <c r="C30" s="236"/>
      <c r="D30" s="236"/>
      <c r="E30" s="236"/>
      <c r="F30" s="236"/>
      <c r="G30" s="317"/>
      <c r="H30" s="317"/>
      <c r="I30" s="3"/>
      <c r="K30" s="3"/>
      <c r="L30" s="236"/>
      <c r="M30" s="236"/>
      <c r="N30" s="236"/>
      <c r="O30" s="236"/>
      <c r="P30" s="317"/>
      <c r="Q30" s="317"/>
      <c r="R30" s="3"/>
    </row>
    <row r="31" spans="2:18" ht="15" customHeight="1" x14ac:dyDescent="0.15">
      <c r="B31" s="3"/>
      <c r="C31" s="236"/>
      <c r="D31" s="236"/>
      <c r="E31" s="236"/>
      <c r="F31" s="236"/>
      <c r="G31" s="317"/>
      <c r="H31" s="317"/>
      <c r="I31" s="3"/>
      <c r="K31" s="3"/>
      <c r="L31" s="236"/>
      <c r="M31" s="236"/>
      <c r="N31" s="236"/>
      <c r="O31" s="236"/>
      <c r="P31" s="317"/>
      <c r="Q31" s="317"/>
      <c r="R31" s="3"/>
    </row>
    <row r="32" spans="2:18" ht="15" customHeight="1" x14ac:dyDescent="0.15">
      <c r="B32" s="3"/>
      <c r="C32" s="236"/>
      <c r="D32" s="236"/>
      <c r="E32" s="236"/>
      <c r="F32" s="236"/>
      <c r="G32" s="317"/>
      <c r="H32" s="317"/>
      <c r="I32" s="3"/>
      <c r="K32" s="3"/>
      <c r="L32" s="236"/>
      <c r="M32" s="236"/>
      <c r="N32" s="236"/>
      <c r="O32" s="236"/>
      <c r="P32" s="317"/>
      <c r="Q32" s="317"/>
      <c r="R32" s="3"/>
    </row>
    <row r="33" spans="2:18" ht="15" customHeight="1" x14ac:dyDescent="0.15">
      <c r="B33" s="3"/>
      <c r="C33" s="236"/>
      <c r="D33" s="236"/>
      <c r="E33" s="236"/>
      <c r="F33" s="236"/>
      <c r="G33" s="317"/>
      <c r="H33" s="317"/>
      <c r="I33" s="3"/>
      <c r="K33" s="3"/>
      <c r="L33" s="236"/>
      <c r="M33" s="236"/>
      <c r="N33" s="236"/>
      <c r="O33" s="236"/>
      <c r="P33" s="317"/>
      <c r="Q33" s="317"/>
      <c r="R33" s="3"/>
    </row>
    <row r="34" spans="2:18" ht="15" customHeight="1" x14ac:dyDescent="0.15">
      <c r="B34" s="3"/>
      <c r="C34" s="236"/>
      <c r="D34" s="236"/>
      <c r="E34" s="236"/>
      <c r="F34" s="236"/>
      <c r="G34" s="317"/>
      <c r="H34" s="317"/>
      <c r="I34" s="3"/>
      <c r="K34" s="3"/>
      <c r="L34" s="236"/>
      <c r="M34" s="236"/>
      <c r="N34" s="236"/>
      <c r="O34" s="236"/>
      <c r="P34" s="317"/>
      <c r="Q34" s="317"/>
      <c r="R34" s="3"/>
    </row>
    <row r="35" spans="2:18" ht="15" customHeight="1" x14ac:dyDescent="0.15">
      <c r="B35" s="3"/>
      <c r="C35" s="236"/>
      <c r="D35" s="236"/>
      <c r="E35" s="236"/>
      <c r="F35" s="236"/>
      <c r="G35" s="317"/>
      <c r="H35" s="317"/>
      <c r="I35" s="3"/>
      <c r="K35" s="3"/>
      <c r="L35" s="236"/>
      <c r="M35" s="236"/>
      <c r="N35" s="236"/>
      <c r="O35" s="236"/>
      <c r="P35" s="317"/>
      <c r="Q35" s="317"/>
      <c r="R35" s="3"/>
    </row>
    <row r="36" spans="2:18" ht="15" customHeight="1" x14ac:dyDescent="0.15">
      <c r="B36" s="3"/>
      <c r="C36" s="236"/>
      <c r="D36" s="236"/>
      <c r="E36" s="236"/>
      <c r="F36" s="236"/>
      <c r="G36" s="317"/>
      <c r="H36" s="317"/>
      <c r="I36" s="3"/>
      <c r="K36" s="3"/>
      <c r="L36" s="236"/>
      <c r="M36" s="236"/>
      <c r="N36" s="236"/>
      <c r="O36" s="236"/>
      <c r="P36" s="317"/>
      <c r="Q36" s="317"/>
      <c r="R36" s="3"/>
    </row>
    <row r="37" spans="2:18" ht="15" customHeight="1" x14ac:dyDescent="0.15">
      <c r="B37" s="3"/>
      <c r="C37" s="236"/>
      <c r="D37" s="236"/>
      <c r="E37" s="236"/>
      <c r="F37" s="236"/>
      <c r="G37" s="317"/>
      <c r="H37" s="317"/>
      <c r="I37" s="3"/>
      <c r="K37" s="3"/>
      <c r="L37" s="236"/>
      <c r="M37" s="236"/>
      <c r="N37" s="236"/>
      <c r="O37" s="236"/>
      <c r="P37" s="317"/>
      <c r="Q37" s="317"/>
      <c r="R37" s="3"/>
    </row>
    <row r="38" spans="2:18" ht="15" customHeight="1" x14ac:dyDescent="0.15">
      <c r="B38" s="3"/>
      <c r="C38" s="236"/>
      <c r="D38" s="236"/>
      <c r="E38" s="236"/>
      <c r="F38" s="236"/>
      <c r="G38" s="317"/>
      <c r="H38" s="317"/>
      <c r="I38" s="3"/>
      <c r="K38" s="3"/>
      <c r="L38" s="236"/>
      <c r="M38" s="236"/>
      <c r="N38" s="236"/>
      <c r="O38" s="236"/>
      <c r="P38" s="317"/>
      <c r="Q38" s="317"/>
      <c r="R38" s="3"/>
    </row>
    <row r="39" spans="2:18" ht="15" customHeight="1" x14ac:dyDescent="0.15">
      <c r="B39" s="3"/>
      <c r="C39" s="236"/>
      <c r="D39" s="236"/>
      <c r="E39" s="236"/>
      <c r="F39" s="236"/>
      <c r="G39" s="317"/>
      <c r="H39" s="317"/>
      <c r="I39" s="3"/>
      <c r="K39" s="3"/>
      <c r="L39" s="236"/>
      <c r="M39" s="236"/>
      <c r="N39" s="236"/>
      <c r="O39" s="236"/>
      <c r="P39" s="317"/>
      <c r="Q39" s="317"/>
      <c r="R39" s="3"/>
    </row>
    <row r="40" spans="2:18" ht="15" customHeight="1" x14ac:dyDescent="0.15">
      <c r="B40" s="3"/>
      <c r="C40" s="236"/>
      <c r="D40" s="236"/>
      <c r="E40" s="236"/>
      <c r="F40" s="236"/>
      <c r="G40" s="317"/>
      <c r="H40" s="317"/>
      <c r="I40" s="3"/>
      <c r="K40" s="3"/>
      <c r="L40" s="236"/>
      <c r="M40" s="236"/>
      <c r="N40" s="236"/>
      <c r="O40" s="236"/>
      <c r="P40" s="317"/>
      <c r="Q40" s="317"/>
      <c r="R40" s="3"/>
    </row>
    <row r="41" spans="2:18" ht="15" customHeight="1" x14ac:dyDescent="0.15">
      <c r="B41" s="3"/>
      <c r="C41" s="236"/>
      <c r="D41" s="236"/>
      <c r="E41" s="236"/>
      <c r="F41" s="236"/>
      <c r="G41" s="317"/>
      <c r="H41" s="317"/>
      <c r="I41" s="3"/>
      <c r="K41" s="3"/>
      <c r="L41" s="236"/>
      <c r="M41" s="236"/>
      <c r="N41" s="236"/>
      <c r="O41" s="236"/>
      <c r="P41" s="317"/>
      <c r="Q41" s="317"/>
      <c r="R41" s="3"/>
    </row>
    <row r="42" spans="2:18" ht="15" customHeight="1" x14ac:dyDescent="0.15">
      <c r="B42" s="3"/>
      <c r="C42" s="236"/>
      <c r="D42" s="236"/>
      <c r="E42" s="236"/>
      <c r="F42" s="236"/>
      <c r="G42" s="317"/>
      <c r="H42" s="317"/>
      <c r="I42" s="3"/>
      <c r="K42" s="3"/>
      <c r="L42" s="236"/>
      <c r="M42" s="236"/>
      <c r="N42" s="236"/>
      <c r="O42" s="236"/>
      <c r="P42" s="317"/>
      <c r="Q42" s="317"/>
      <c r="R42" s="3"/>
    </row>
    <row r="43" spans="2:18" ht="15" customHeight="1" x14ac:dyDescent="0.15">
      <c r="B43" s="3"/>
      <c r="C43" s="236"/>
      <c r="D43" s="236"/>
      <c r="E43" s="236"/>
      <c r="F43" s="236"/>
      <c r="G43" s="317"/>
      <c r="H43" s="317"/>
      <c r="I43" s="3"/>
      <c r="K43" s="3"/>
      <c r="L43" s="236"/>
      <c r="M43" s="236"/>
      <c r="N43" s="236"/>
      <c r="O43" s="236"/>
      <c r="P43" s="317"/>
      <c r="Q43" s="317"/>
      <c r="R43" s="3"/>
    </row>
    <row r="44" spans="2:18" ht="15" customHeight="1" x14ac:dyDescent="0.15">
      <c r="B44" s="3"/>
      <c r="C44" s="236"/>
      <c r="D44" s="236"/>
      <c r="E44" s="236"/>
      <c r="F44" s="236"/>
      <c r="G44" s="317"/>
      <c r="H44" s="317"/>
      <c r="I44" s="3"/>
      <c r="K44" s="3"/>
      <c r="L44" s="236"/>
      <c r="M44" s="236"/>
      <c r="N44" s="236"/>
      <c r="O44" s="236"/>
      <c r="P44" s="317"/>
      <c r="Q44" s="317"/>
      <c r="R44" s="3"/>
    </row>
    <row r="45" spans="2:18" ht="15" customHeight="1" x14ac:dyDescent="0.15">
      <c r="B45" s="3"/>
      <c r="C45" s="236"/>
      <c r="D45" s="236"/>
      <c r="E45" s="236"/>
      <c r="F45" s="236"/>
      <c r="G45" s="317"/>
      <c r="H45" s="317"/>
      <c r="I45" s="3"/>
      <c r="K45" s="3"/>
      <c r="L45" s="236"/>
      <c r="M45" s="236"/>
      <c r="N45" s="236"/>
      <c r="O45" s="236"/>
      <c r="P45" s="317"/>
      <c r="Q45" s="317"/>
      <c r="R45" s="3"/>
    </row>
    <row r="46" spans="2:18" ht="15" customHeight="1" x14ac:dyDescent="0.15">
      <c r="B46" s="3"/>
      <c r="C46" s="236"/>
      <c r="D46" s="236"/>
      <c r="E46" s="236"/>
      <c r="F46" s="236"/>
      <c r="G46" s="317"/>
      <c r="H46" s="317"/>
      <c r="I46" s="3"/>
      <c r="K46" s="3"/>
      <c r="L46" s="236"/>
      <c r="M46" s="236"/>
      <c r="N46" s="236"/>
      <c r="O46" s="236"/>
      <c r="P46" s="317"/>
      <c r="Q46" s="317"/>
      <c r="R46" s="3"/>
    </row>
    <row r="47" spans="2:18" ht="15" customHeight="1" x14ac:dyDescent="0.15">
      <c r="B47" s="3"/>
      <c r="C47" s="236"/>
      <c r="D47" s="236"/>
      <c r="E47" s="236"/>
      <c r="F47" s="236"/>
      <c r="G47" s="317"/>
      <c r="H47" s="317"/>
      <c r="I47" s="3"/>
      <c r="K47" s="3"/>
      <c r="L47" s="236"/>
      <c r="M47" s="236"/>
      <c r="N47" s="236"/>
      <c r="O47" s="236"/>
      <c r="P47" s="317"/>
      <c r="Q47" s="317"/>
      <c r="R47" s="3"/>
    </row>
    <row r="48" spans="2:18" ht="15" customHeight="1" x14ac:dyDescent="0.15">
      <c r="B48" s="3"/>
      <c r="C48" s="3"/>
      <c r="D48" s="3"/>
      <c r="E48" s="3"/>
      <c r="F48" s="3"/>
      <c r="G48" s="3"/>
      <c r="H48" s="3"/>
      <c r="I48" s="3"/>
      <c r="K48" s="3"/>
      <c r="L48" s="3"/>
      <c r="M48" s="3"/>
      <c r="N48" s="3"/>
      <c r="O48" s="3"/>
      <c r="P48" s="3"/>
      <c r="Q48" s="3"/>
      <c r="R48" s="3"/>
    </row>
  </sheetData>
  <mergeCells count="92">
    <mergeCell ref="P27:Q27"/>
    <mergeCell ref="P28:Q28"/>
    <mergeCell ref="B2:C2"/>
    <mergeCell ref="D2:I2"/>
    <mergeCell ref="K2:L2"/>
    <mergeCell ref="M2:R2"/>
    <mergeCell ref="G4:H4"/>
    <mergeCell ref="P4:Q4"/>
    <mergeCell ref="G6:H6"/>
    <mergeCell ref="P6:Q6"/>
    <mergeCell ref="G7:H7"/>
    <mergeCell ref="P7:Q7"/>
    <mergeCell ref="P22:Q22"/>
    <mergeCell ref="P23:Q23"/>
    <mergeCell ref="P24:Q24"/>
    <mergeCell ref="P25:Q25"/>
    <mergeCell ref="P26:Q26"/>
    <mergeCell ref="P5:Q5"/>
    <mergeCell ref="P18:Q18"/>
    <mergeCell ref="P19:Q19"/>
    <mergeCell ref="P20:Q20"/>
    <mergeCell ref="P21:Q21"/>
    <mergeCell ref="P16:Q16"/>
    <mergeCell ref="G28:H28"/>
    <mergeCell ref="G29:H29"/>
    <mergeCell ref="G34:H34"/>
    <mergeCell ref="G39:H39"/>
    <mergeCell ref="G5:H5"/>
    <mergeCell ref="G23:H23"/>
    <mergeCell ref="G24:H24"/>
    <mergeCell ref="G25:H25"/>
    <mergeCell ref="G26:H26"/>
    <mergeCell ref="G27:H27"/>
    <mergeCell ref="G18:H18"/>
    <mergeCell ref="G19:H19"/>
    <mergeCell ref="G20:H20"/>
    <mergeCell ref="G21:H21"/>
    <mergeCell ref="G22:H22"/>
    <mergeCell ref="G16:H16"/>
    <mergeCell ref="G17:H17"/>
    <mergeCell ref="P17:Q17"/>
    <mergeCell ref="G8:H8"/>
    <mergeCell ref="P8:Q8"/>
    <mergeCell ref="G9:H9"/>
    <mergeCell ref="P9:Q9"/>
    <mergeCell ref="G10:H10"/>
    <mergeCell ref="P10:Q10"/>
    <mergeCell ref="G11:H11"/>
    <mergeCell ref="P11:Q11"/>
    <mergeCell ref="G12:H12"/>
    <mergeCell ref="P12:Q12"/>
    <mergeCell ref="G13:H13"/>
    <mergeCell ref="P13:Q13"/>
    <mergeCell ref="G14:H14"/>
    <mergeCell ref="P14:Q14"/>
    <mergeCell ref="G15:H15"/>
    <mergeCell ref="P15:Q15"/>
    <mergeCell ref="G37:H37"/>
    <mergeCell ref="P37:Q37"/>
    <mergeCell ref="G38:H38"/>
    <mergeCell ref="P38:Q38"/>
    <mergeCell ref="P29:Q29"/>
    <mergeCell ref="G30:H30"/>
    <mergeCell ref="P30:Q30"/>
    <mergeCell ref="G31:H31"/>
    <mergeCell ref="P31:Q31"/>
    <mergeCell ref="G32:H32"/>
    <mergeCell ref="P32:Q32"/>
    <mergeCell ref="G33:H33"/>
    <mergeCell ref="P33:Q33"/>
    <mergeCell ref="P34:Q34"/>
    <mergeCell ref="G35:H35"/>
    <mergeCell ref="P35:Q35"/>
    <mergeCell ref="G36:H36"/>
    <mergeCell ref="P36:Q36"/>
    <mergeCell ref="G47:H47"/>
    <mergeCell ref="P47:Q47"/>
    <mergeCell ref="P39:Q39"/>
    <mergeCell ref="G40:H40"/>
    <mergeCell ref="P40:Q40"/>
    <mergeCell ref="G41:H41"/>
    <mergeCell ref="P41:Q41"/>
    <mergeCell ref="G42:H42"/>
    <mergeCell ref="P42:Q42"/>
    <mergeCell ref="G43:H43"/>
    <mergeCell ref="P43:Q43"/>
    <mergeCell ref="G44:H44"/>
    <mergeCell ref="P44:Q44"/>
    <mergeCell ref="G45:H45"/>
    <mergeCell ref="P45:Q45"/>
    <mergeCell ref="G46:H46"/>
    <mergeCell ref="P46:Q46"/>
  </mergeCells>
  <phoneticPr fontId="3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EP56"/>
  <sheetViews>
    <sheetView workbookViewId="0">
      <pane ySplit="6" topLeftCell="A7" activePane="bottomLeft" state="frozen"/>
      <selection pane="bottomLeft" activeCell="G25" sqref="G25"/>
    </sheetView>
  </sheetViews>
  <sheetFormatPr defaultColWidth="8.875" defaultRowHeight="15" customHeight="1" x14ac:dyDescent="0.15"/>
  <cols>
    <col min="1" max="1" width="2.625" style="35" customWidth="1"/>
    <col min="2" max="2" width="2.125" style="35" customWidth="1"/>
    <col min="3" max="3" width="24.25" style="35" customWidth="1"/>
    <col min="4" max="4" width="4.75" style="35" customWidth="1"/>
    <col min="5" max="5" width="25.25" style="35" customWidth="1"/>
    <col min="6" max="6" width="8.875" style="35"/>
    <col min="7" max="7" width="55.5" style="35" customWidth="1"/>
    <col min="8" max="8" width="8.875" style="35"/>
    <col min="9" max="10" width="15.125" style="35" bestFit="1" customWidth="1"/>
    <col min="11" max="11" width="2.125" style="35" customWidth="1"/>
    <col min="12" max="12" width="2.625" style="35" customWidth="1"/>
    <col min="13" max="13" width="2.125" style="35" customWidth="1"/>
    <col min="14" max="18" width="10.625" style="35" customWidth="1"/>
    <col min="19" max="19" width="2.125" style="35" customWidth="1"/>
    <col min="20" max="23" width="8.875" style="35" customWidth="1"/>
    <col min="24" max="16370" width="8.875" style="35"/>
    <col min="16371" max="16384" width="8.875" style="41"/>
  </cols>
  <sheetData>
    <row r="1" spans="2:27" ht="15" customHeight="1" x14ac:dyDescent="0.15">
      <c r="M1" s="40"/>
      <c r="N1" s="40"/>
      <c r="O1" s="40"/>
      <c r="P1" s="40"/>
      <c r="Q1" s="40"/>
      <c r="R1" s="40"/>
      <c r="S1" s="40"/>
      <c r="T1" s="40"/>
      <c r="U1" s="40"/>
      <c r="V1" s="40"/>
      <c r="W1" s="40"/>
      <c r="X1" s="40"/>
    </row>
    <row r="2" spans="2:27" ht="15" customHeight="1" x14ac:dyDescent="0.15">
      <c r="B2" s="129"/>
      <c r="C2" s="129" t="s">
        <v>212</v>
      </c>
      <c r="D2" s="36"/>
      <c r="E2" s="313" t="s">
        <v>561</v>
      </c>
      <c r="F2" s="313"/>
      <c r="G2" s="313"/>
      <c r="H2" s="313"/>
      <c r="I2" s="313"/>
      <c r="J2" s="313"/>
      <c r="K2" s="313"/>
      <c r="M2" s="129"/>
      <c r="N2" s="129" t="s">
        <v>213</v>
      </c>
      <c r="O2" s="36"/>
      <c r="P2" s="313" t="s">
        <v>214</v>
      </c>
      <c r="Q2" s="313"/>
      <c r="R2" s="313"/>
      <c r="S2" s="313"/>
      <c r="T2" s="40"/>
      <c r="U2" s="40"/>
      <c r="V2" s="40"/>
      <c r="W2" s="40"/>
      <c r="X2" s="40"/>
    </row>
    <row r="3" spans="2:27" ht="15" customHeight="1" x14ac:dyDescent="0.15">
      <c r="B3" s="137"/>
      <c r="C3" s="137"/>
      <c r="D3" s="137"/>
      <c r="E3" s="137"/>
      <c r="F3" s="137"/>
      <c r="G3" s="137"/>
      <c r="H3" s="137"/>
      <c r="I3" s="137"/>
      <c r="J3" s="137"/>
      <c r="K3" s="137"/>
      <c r="M3" s="37"/>
      <c r="N3" s="37"/>
      <c r="O3" s="37"/>
      <c r="P3" s="37"/>
      <c r="Q3" s="37"/>
      <c r="R3" s="37"/>
      <c r="S3" s="37"/>
      <c r="T3" s="43"/>
      <c r="U3" s="43"/>
      <c r="V3" s="43"/>
      <c r="W3" s="43"/>
      <c r="X3" s="43"/>
      <c r="Y3" s="39"/>
      <c r="Z3" s="39"/>
      <c r="AA3" s="39"/>
    </row>
    <row r="4" spans="2:27" ht="15" customHeight="1" x14ac:dyDescent="0.15">
      <c r="B4" s="137"/>
      <c r="C4" s="137"/>
      <c r="D4" s="137"/>
      <c r="E4" s="137"/>
      <c r="F4" s="137"/>
      <c r="G4" s="323"/>
      <c r="H4" s="323"/>
      <c r="I4" s="241" t="s">
        <v>477</v>
      </c>
      <c r="J4" s="241" t="s">
        <v>473</v>
      </c>
      <c r="K4" s="137"/>
      <c r="M4" s="37"/>
      <c r="N4" s="241" t="s">
        <v>215</v>
      </c>
      <c r="O4" s="241" t="s">
        <v>715</v>
      </c>
      <c r="P4" s="241" t="s">
        <v>216</v>
      </c>
      <c r="Q4" s="272" t="s">
        <v>213</v>
      </c>
      <c r="R4" s="272"/>
      <c r="S4" s="37"/>
      <c r="T4" s="43"/>
      <c r="U4" s="43"/>
      <c r="V4" s="43"/>
      <c r="W4" s="43"/>
      <c r="X4" s="43"/>
      <c r="Y4" s="39"/>
      <c r="Z4" s="39"/>
      <c r="AA4" s="39"/>
    </row>
    <row r="5" spans="2:27" ht="15" customHeight="1" x14ac:dyDescent="0.15">
      <c r="B5" s="137"/>
      <c r="C5" s="137"/>
      <c r="D5" s="137"/>
      <c r="E5" s="137"/>
      <c r="F5" s="137"/>
      <c r="G5" s="323"/>
      <c r="H5" s="323"/>
      <c r="I5" s="243">
        <f>SUM(I7:I55)</f>
        <v>56</v>
      </c>
      <c r="J5" s="243">
        <f>SUM(J7:J55)</f>
        <v>10</v>
      </c>
      <c r="K5" s="137"/>
      <c r="M5" s="37"/>
      <c r="N5" s="244">
        <f>人物卡!K32</f>
        <v>0</v>
      </c>
      <c r="O5" s="244">
        <f>人物卡!O32</f>
        <v>0</v>
      </c>
      <c r="P5" s="244">
        <f>人物卡!P22</f>
        <v>0</v>
      </c>
      <c r="Q5" s="324" t="str">
        <f>IF(P5&lt;0,"严重赛博精神病",IF(P5=0,"赛博精神病",IF(P5=1,"分离性精神障碍",IF(P5=2,"边缘分离性精神障碍","健康"))))</f>
        <v>赛博精神病</v>
      </c>
      <c r="R5" s="324"/>
      <c r="S5" s="157"/>
      <c r="T5" s="158"/>
      <c r="U5" s="43"/>
      <c r="V5" s="43"/>
      <c r="W5" s="43"/>
      <c r="X5" s="43"/>
      <c r="Y5" s="39"/>
      <c r="Z5" s="39"/>
      <c r="AA5" s="39"/>
    </row>
    <row r="6" spans="2:27" ht="15" customHeight="1" x14ac:dyDescent="0.15">
      <c r="B6" s="137"/>
      <c r="C6" s="241" t="s">
        <v>217</v>
      </c>
      <c r="D6" s="241" t="s">
        <v>218</v>
      </c>
      <c r="E6" s="241" t="s">
        <v>219</v>
      </c>
      <c r="F6" s="241" t="s">
        <v>220</v>
      </c>
      <c r="G6" s="241" t="s">
        <v>221</v>
      </c>
      <c r="H6" s="242" t="s">
        <v>222</v>
      </c>
      <c r="I6" s="241" t="s">
        <v>474</v>
      </c>
      <c r="J6" s="241" t="s">
        <v>475</v>
      </c>
      <c r="K6" s="137"/>
      <c r="M6" s="37"/>
      <c r="N6" s="272" t="s">
        <v>223</v>
      </c>
      <c r="O6" s="272"/>
      <c r="P6" s="272"/>
      <c r="Q6" s="324"/>
      <c r="R6" s="324"/>
      <c r="S6" s="157"/>
      <c r="T6" s="158"/>
      <c r="U6" s="43"/>
      <c r="V6" s="43"/>
      <c r="W6" s="43"/>
      <c r="X6" s="43"/>
      <c r="Y6" s="39"/>
      <c r="Z6" s="39"/>
      <c r="AA6" s="39"/>
    </row>
    <row r="7" spans="2:27" ht="15" customHeight="1" x14ac:dyDescent="0.15">
      <c r="B7" s="137"/>
      <c r="C7" s="237"/>
      <c r="D7" s="237"/>
      <c r="E7" s="237"/>
      <c r="F7" s="237"/>
      <c r="G7" s="237" t="s">
        <v>478</v>
      </c>
      <c r="H7" s="238"/>
      <c r="I7" s="239">
        <v>7</v>
      </c>
      <c r="J7" s="239">
        <v>2</v>
      </c>
      <c r="K7" s="137"/>
      <c r="M7" s="37"/>
      <c r="N7" s="272" t="s">
        <v>224</v>
      </c>
      <c r="O7" s="272"/>
      <c r="P7" s="245" t="s">
        <v>225</v>
      </c>
      <c r="Q7" s="327" t="s">
        <v>226</v>
      </c>
      <c r="R7" s="327"/>
      <c r="S7" s="157"/>
      <c r="T7" s="158"/>
      <c r="U7" s="43"/>
      <c r="V7" s="43"/>
      <c r="W7" s="43"/>
      <c r="X7" s="43"/>
      <c r="Y7" s="39"/>
      <c r="Z7" s="39"/>
      <c r="AA7" s="39"/>
    </row>
    <row r="8" spans="2:27" ht="15" customHeight="1" x14ac:dyDescent="0.15">
      <c r="B8" s="137"/>
      <c r="C8" s="237"/>
      <c r="D8" s="237"/>
      <c r="E8" s="237"/>
      <c r="F8" s="237"/>
      <c r="G8" s="237" t="s">
        <v>479</v>
      </c>
      <c r="H8" s="238"/>
      <c r="I8" s="239">
        <v>14</v>
      </c>
      <c r="J8" s="239">
        <v>4</v>
      </c>
      <c r="K8" s="137"/>
      <c r="M8" s="37"/>
      <c r="N8" s="326"/>
      <c r="O8" s="326"/>
      <c r="P8" s="246"/>
      <c r="Q8" s="37"/>
      <c r="R8" s="42"/>
      <c r="S8" s="157"/>
      <c r="T8" s="158"/>
      <c r="U8" s="43"/>
      <c r="V8" s="43"/>
      <c r="W8" s="43"/>
      <c r="X8" s="43"/>
      <c r="Y8" s="39"/>
      <c r="Z8" s="39"/>
      <c r="AA8" s="39"/>
    </row>
    <row r="9" spans="2:27" ht="15" customHeight="1" x14ac:dyDescent="0.15">
      <c r="B9" s="137"/>
      <c r="C9" s="237"/>
      <c r="D9" s="237"/>
      <c r="E9" s="237"/>
      <c r="F9" s="237"/>
      <c r="G9" s="237" t="s">
        <v>480</v>
      </c>
      <c r="H9" s="238"/>
      <c r="I9" s="239">
        <v>7</v>
      </c>
      <c r="J9" s="239">
        <v>0</v>
      </c>
      <c r="K9" s="137"/>
      <c r="M9" s="37"/>
      <c r="N9" s="325"/>
      <c r="O9" s="325"/>
      <c r="P9" s="247"/>
      <c r="Q9" s="187" t="s">
        <v>227</v>
      </c>
      <c r="R9" s="42"/>
      <c r="S9" s="157"/>
      <c r="T9" s="158"/>
      <c r="U9" s="43"/>
      <c r="V9" s="43"/>
      <c r="W9" s="43"/>
      <c r="X9" s="43"/>
      <c r="Y9" s="39"/>
      <c r="Z9" s="39"/>
      <c r="AA9" s="39"/>
    </row>
    <row r="10" spans="2:27" ht="15" customHeight="1" x14ac:dyDescent="0.15">
      <c r="B10" s="137"/>
      <c r="C10" s="237"/>
      <c r="D10" s="237"/>
      <c r="E10" s="237"/>
      <c r="F10" s="237"/>
      <c r="G10" s="237" t="s">
        <v>481</v>
      </c>
      <c r="H10" s="238"/>
      <c r="I10" s="239">
        <v>14</v>
      </c>
      <c r="J10" s="239">
        <v>0</v>
      </c>
      <c r="K10" s="137"/>
      <c r="M10" s="37"/>
      <c r="N10" s="325"/>
      <c r="O10" s="325"/>
      <c r="P10" s="247"/>
      <c r="Q10" s="187" t="s">
        <v>228</v>
      </c>
      <c r="R10" s="42"/>
      <c r="S10" s="157"/>
      <c r="T10" s="158"/>
      <c r="U10" s="43"/>
      <c r="V10" s="43"/>
      <c r="W10" s="43"/>
      <c r="X10" s="43"/>
      <c r="Y10" s="39"/>
      <c r="Z10" s="39"/>
      <c r="AA10" s="39"/>
    </row>
    <row r="11" spans="2:27" ht="15" customHeight="1" x14ac:dyDescent="0.15">
      <c r="B11" s="137"/>
      <c r="C11" s="237"/>
      <c r="D11" s="237"/>
      <c r="E11" s="237"/>
      <c r="F11" s="237"/>
      <c r="G11" s="237" t="s">
        <v>482</v>
      </c>
      <c r="H11" s="238"/>
      <c r="I11" s="239">
        <v>17</v>
      </c>
      <c r="J11" s="239">
        <v>4</v>
      </c>
      <c r="K11" s="137"/>
      <c r="M11" s="37"/>
      <c r="N11" s="325"/>
      <c r="O11" s="325"/>
      <c r="P11" s="247"/>
      <c r="Q11" s="187" t="s">
        <v>229</v>
      </c>
      <c r="R11" s="42"/>
      <c r="S11" s="157"/>
      <c r="T11" s="158"/>
      <c r="U11" s="43"/>
      <c r="V11" s="43"/>
      <c r="W11" s="43"/>
      <c r="X11" s="43"/>
      <c r="Y11" s="39"/>
      <c r="Z11" s="39"/>
      <c r="AA11" s="39"/>
    </row>
    <row r="12" spans="2:27" ht="15" customHeight="1" x14ac:dyDescent="0.15">
      <c r="B12" s="137"/>
      <c r="C12" s="237"/>
      <c r="D12" s="237"/>
      <c r="E12" s="237"/>
      <c r="F12" s="237"/>
      <c r="G12" s="237"/>
      <c r="H12" s="238"/>
      <c r="I12" s="239"/>
      <c r="J12" s="239"/>
      <c r="K12" s="137"/>
      <c r="M12" s="37"/>
      <c r="N12" s="325"/>
      <c r="O12" s="325"/>
      <c r="P12" s="247"/>
      <c r="Q12" s="187" t="s">
        <v>230</v>
      </c>
      <c r="R12" s="42"/>
      <c r="S12" s="157"/>
      <c r="T12" s="158"/>
      <c r="U12" s="43"/>
      <c r="V12" s="43"/>
      <c r="W12" s="43"/>
      <c r="X12" s="43"/>
      <c r="Y12" s="39"/>
      <c r="Z12" s="39"/>
      <c r="AA12" s="39"/>
    </row>
    <row r="13" spans="2:27" ht="15" customHeight="1" x14ac:dyDescent="0.15">
      <c r="B13" s="137"/>
      <c r="C13" s="237"/>
      <c r="D13" s="237"/>
      <c r="E13" s="237"/>
      <c r="F13" s="237"/>
      <c r="G13" s="237"/>
      <c r="H13" s="238"/>
      <c r="I13" s="239"/>
      <c r="J13" s="239"/>
      <c r="K13" s="137"/>
      <c r="M13" s="37"/>
      <c r="N13" s="325"/>
      <c r="O13" s="325"/>
      <c r="P13" s="247"/>
      <c r="Q13" s="187" t="s">
        <v>231</v>
      </c>
      <c r="R13" s="42"/>
      <c r="S13" s="157"/>
      <c r="T13" s="158"/>
      <c r="U13" s="43"/>
      <c r="V13" s="43"/>
      <c r="W13" s="43"/>
      <c r="X13" s="43"/>
      <c r="Y13" s="39"/>
      <c r="Z13" s="39"/>
      <c r="AA13" s="39"/>
    </row>
    <row r="14" spans="2:27" ht="15" customHeight="1" x14ac:dyDescent="0.15">
      <c r="B14" s="137"/>
      <c r="C14" s="237"/>
      <c r="D14" s="237"/>
      <c r="E14" s="237"/>
      <c r="F14" s="237"/>
      <c r="G14" s="237"/>
      <c r="H14" s="238"/>
      <c r="I14" s="239"/>
      <c r="J14" s="239"/>
      <c r="K14" s="137"/>
      <c r="M14" s="37"/>
      <c r="N14" s="325"/>
      <c r="O14" s="325"/>
      <c r="P14" s="247"/>
      <c r="Q14" s="187" t="s">
        <v>232</v>
      </c>
      <c r="R14" s="42"/>
      <c r="S14" s="157"/>
      <c r="T14" s="158"/>
      <c r="U14" s="43"/>
      <c r="V14" s="43"/>
      <c r="W14" s="43"/>
      <c r="X14" s="43"/>
      <c r="Y14" s="39"/>
      <c r="Z14" s="39"/>
      <c r="AA14" s="39"/>
    </row>
    <row r="15" spans="2:27" ht="15" customHeight="1" x14ac:dyDescent="0.15">
      <c r="B15" s="137"/>
      <c r="C15" s="237"/>
      <c r="D15" s="237"/>
      <c r="E15" s="237"/>
      <c r="F15" s="237"/>
      <c r="G15" s="237"/>
      <c r="H15" s="238"/>
      <c r="I15" s="239"/>
      <c r="J15" s="239"/>
      <c r="K15" s="137"/>
      <c r="M15" s="37"/>
      <c r="N15" s="325"/>
      <c r="O15" s="325"/>
      <c r="P15" s="247"/>
      <c r="Q15" s="37"/>
      <c r="R15" s="42"/>
      <c r="S15" s="157"/>
      <c r="T15" s="158"/>
      <c r="U15" s="43"/>
      <c r="V15" s="43"/>
      <c r="W15" s="43"/>
      <c r="X15" s="43"/>
      <c r="Y15" s="39"/>
      <c r="Z15" s="39"/>
      <c r="AA15" s="39"/>
    </row>
    <row r="16" spans="2:27" ht="15" customHeight="1" x14ac:dyDescent="0.15">
      <c r="B16" s="137"/>
      <c r="C16" s="237"/>
      <c r="D16" s="237"/>
      <c r="E16" s="237"/>
      <c r="F16" s="237"/>
      <c r="G16" s="237"/>
      <c r="H16" s="238"/>
      <c r="I16" s="239"/>
      <c r="J16" s="239"/>
      <c r="K16" s="137"/>
      <c r="M16" s="37"/>
      <c r="N16" s="326" t="s">
        <v>233</v>
      </c>
      <c r="O16" s="326"/>
      <c r="P16" s="244">
        <f>往来记录!Q61</f>
        <v>0</v>
      </c>
      <c r="Q16" s="37"/>
      <c r="R16" s="42"/>
      <c r="S16" s="157"/>
      <c r="T16" s="158"/>
      <c r="U16" s="43"/>
      <c r="V16" s="43"/>
      <c r="W16" s="43"/>
      <c r="X16" s="43"/>
      <c r="Y16" s="39"/>
      <c r="Z16" s="39"/>
      <c r="AA16" s="39"/>
    </row>
    <row r="17" spans="2:27" ht="15" customHeight="1" x14ac:dyDescent="0.15">
      <c r="B17" s="137"/>
      <c r="C17" s="237"/>
      <c r="D17" s="237"/>
      <c r="E17" s="237"/>
      <c r="F17" s="237"/>
      <c r="G17" s="237"/>
      <c r="H17" s="238"/>
      <c r="I17" s="239"/>
      <c r="J17" s="239"/>
      <c r="K17" s="137"/>
      <c r="M17" s="37"/>
      <c r="N17" s="37"/>
      <c r="O17" s="42"/>
      <c r="P17" s="42"/>
      <c r="Q17" s="37"/>
      <c r="R17" s="42"/>
      <c r="S17" s="157"/>
      <c r="T17" s="158"/>
      <c r="U17" s="43"/>
      <c r="V17" s="43"/>
      <c r="W17" s="43"/>
      <c r="X17" s="43"/>
      <c r="Y17" s="39"/>
      <c r="Z17" s="39"/>
      <c r="AA17" s="39"/>
    </row>
    <row r="18" spans="2:27" ht="15" customHeight="1" x14ac:dyDescent="0.15">
      <c r="B18" s="137"/>
      <c r="C18" s="237"/>
      <c r="D18" s="237"/>
      <c r="E18" s="237"/>
      <c r="F18" s="237"/>
      <c r="G18" s="237"/>
      <c r="H18" s="238"/>
      <c r="I18" s="239"/>
      <c r="J18" s="239"/>
      <c r="K18" s="137"/>
      <c r="M18" s="43"/>
      <c r="N18" s="43"/>
      <c r="O18" s="44"/>
      <c r="P18" s="44"/>
      <c r="Q18" s="43"/>
      <c r="R18" s="44"/>
      <c r="S18" s="158"/>
      <c r="T18" s="158"/>
      <c r="U18" s="43"/>
      <c r="V18" s="43"/>
      <c r="W18" s="43"/>
      <c r="X18" s="43"/>
      <c r="Y18" s="39"/>
      <c r="Z18" s="39"/>
      <c r="AA18" s="39"/>
    </row>
    <row r="19" spans="2:27" ht="15" customHeight="1" x14ac:dyDescent="0.15">
      <c r="B19" s="137"/>
      <c r="C19" s="237"/>
      <c r="D19" s="237"/>
      <c r="E19" s="237"/>
      <c r="F19" s="237"/>
      <c r="G19" s="237"/>
      <c r="H19" s="238"/>
      <c r="I19" s="239"/>
      <c r="J19" s="239"/>
      <c r="K19" s="137"/>
      <c r="M19" s="129"/>
      <c r="N19" s="129" t="s">
        <v>234</v>
      </c>
      <c r="O19" s="36"/>
      <c r="P19" s="44"/>
      <c r="Q19" s="43"/>
      <c r="R19" s="44"/>
      <c r="S19" s="158"/>
      <c r="T19" s="158"/>
      <c r="U19" s="43"/>
      <c r="V19" s="43"/>
      <c r="W19" s="43"/>
      <c r="X19" s="43"/>
      <c r="Y19" s="39"/>
      <c r="Z19" s="39"/>
      <c r="AA19" s="39"/>
    </row>
    <row r="20" spans="2:27" ht="15" customHeight="1" x14ac:dyDescent="0.15">
      <c r="B20" s="137"/>
      <c r="C20" s="237"/>
      <c r="D20" s="237"/>
      <c r="E20" s="237"/>
      <c r="F20" s="237"/>
      <c r="G20" s="237"/>
      <c r="H20" s="238"/>
      <c r="I20" s="239"/>
      <c r="J20" s="239"/>
      <c r="K20" s="137"/>
      <c r="M20" s="37"/>
      <c r="N20" s="37"/>
      <c r="O20" s="37"/>
      <c r="P20" s="37"/>
      <c r="Q20" s="37"/>
      <c r="R20" s="37"/>
      <c r="S20" s="37"/>
      <c r="T20" s="43"/>
      <c r="U20" s="43"/>
      <c r="V20" s="43"/>
      <c r="W20" s="43"/>
      <c r="X20" s="43"/>
      <c r="Y20" s="39"/>
      <c r="Z20" s="39"/>
      <c r="AA20" s="39"/>
    </row>
    <row r="21" spans="2:27" ht="15" customHeight="1" x14ac:dyDescent="0.15">
      <c r="B21" s="137"/>
      <c r="C21" s="237"/>
      <c r="D21" s="237"/>
      <c r="E21" s="237"/>
      <c r="F21" s="237"/>
      <c r="G21" s="237"/>
      <c r="H21" s="238"/>
      <c r="I21" s="239"/>
      <c r="J21" s="239"/>
      <c r="K21" s="137"/>
      <c r="M21" s="37"/>
      <c r="N21" s="241" t="s">
        <v>235</v>
      </c>
      <c r="O21" s="241" t="s">
        <v>236</v>
      </c>
      <c r="P21" s="272" t="s">
        <v>51</v>
      </c>
      <c r="Q21" s="272"/>
      <c r="R21" s="272"/>
      <c r="S21" s="37"/>
      <c r="T21" s="43"/>
      <c r="U21" s="43"/>
      <c r="V21" s="43"/>
      <c r="W21" s="43"/>
      <c r="X21" s="43"/>
      <c r="Y21" s="39"/>
      <c r="Z21" s="39"/>
      <c r="AA21" s="39"/>
    </row>
    <row r="22" spans="2:27" ht="15" customHeight="1" x14ac:dyDescent="0.15">
      <c r="B22" s="137"/>
      <c r="C22" s="237"/>
      <c r="D22" s="237"/>
      <c r="E22" s="237"/>
      <c r="F22" s="237"/>
      <c r="G22" s="237"/>
      <c r="H22" s="238"/>
      <c r="I22" s="239"/>
      <c r="J22" s="239"/>
      <c r="K22" s="137"/>
      <c r="M22" s="37"/>
      <c r="N22" s="247"/>
      <c r="O22" s="247"/>
      <c r="P22" s="321"/>
      <c r="Q22" s="321"/>
      <c r="R22" s="321"/>
      <c r="S22" s="37"/>
      <c r="T22" s="43"/>
      <c r="U22" s="43"/>
      <c r="V22" s="43"/>
      <c r="W22" s="43"/>
      <c r="X22" s="43"/>
      <c r="Y22" s="39"/>
      <c r="Z22" s="39"/>
      <c r="AA22" s="39"/>
    </row>
    <row r="23" spans="2:27" ht="15" customHeight="1" x14ac:dyDescent="0.15">
      <c r="B23" s="137"/>
      <c r="C23" s="237"/>
      <c r="D23" s="237"/>
      <c r="E23" s="237"/>
      <c r="F23" s="237"/>
      <c r="G23" s="237"/>
      <c r="H23" s="238"/>
      <c r="I23" s="239"/>
      <c r="J23" s="239"/>
      <c r="K23" s="137"/>
      <c r="M23" s="37"/>
      <c r="N23" s="247"/>
      <c r="O23" s="247"/>
      <c r="P23" s="321"/>
      <c r="Q23" s="321"/>
      <c r="R23" s="321"/>
      <c r="S23" s="37"/>
      <c r="T23" s="43"/>
      <c r="U23" s="43"/>
      <c r="V23" s="43"/>
      <c r="W23" s="43"/>
      <c r="X23" s="43"/>
      <c r="Y23" s="39"/>
      <c r="Z23" s="39"/>
      <c r="AA23" s="39"/>
    </row>
    <row r="24" spans="2:27" ht="15" customHeight="1" x14ac:dyDescent="0.15">
      <c r="B24" s="137"/>
      <c r="C24" s="237"/>
      <c r="D24" s="237"/>
      <c r="E24" s="237"/>
      <c r="F24" s="237"/>
      <c r="G24" s="237"/>
      <c r="H24" s="238"/>
      <c r="I24" s="239"/>
      <c r="J24" s="239"/>
      <c r="K24" s="137"/>
      <c r="M24" s="37"/>
      <c r="N24" s="247"/>
      <c r="O24" s="247"/>
      <c r="P24" s="321"/>
      <c r="Q24" s="321"/>
      <c r="R24" s="321"/>
      <c r="S24" s="37"/>
      <c r="T24" s="43"/>
      <c r="U24" s="43"/>
      <c r="V24" s="43"/>
      <c r="W24" s="43"/>
      <c r="X24" s="43"/>
      <c r="Y24" s="39"/>
      <c r="Z24" s="39"/>
      <c r="AA24" s="39"/>
    </row>
    <row r="25" spans="2:27" ht="15" customHeight="1" x14ac:dyDescent="0.15">
      <c r="B25" s="137"/>
      <c r="C25" s="237"/>
      <c r="D25" s="237"/>
      <c r="E25" s="237"/>
      <c r="F25" s="237"/>
      <c r="G25" s="237"/>
      <c r="H25" s="238"/>
      <c r="I25" s="239"/>
      <c r="J25" s="239"/>
      <c r="K25" s="137"/>
      <c r="M25" s="37"/>
      <c r="N25" s="247"/>
      <c r="O25" s="247"/>
      <c r="P25" s="321"/>
      <c r="Q25" s="321"/>
      <c r="R25" s="321"/>
      <c r="S25" s="37"/>
      <c r="T25" s="43"/>
      <c r="U25" s="43"/>
      <c r="V25" s="43"/>
      <c r="W25" s="43"/>
      <c r="X25" s="43"/>
      <c r="Y25" s="39"/>
      <c r="Z25" s="39"/>
      <c r="AA25" s="39"/>
    </row>
    <row r="26" spans="2:27" ht="15" customHeight="1" x14ac:dyDescent="0.15">
      <c r="B26" s="137"/>
      <c r="C26" s="237"/>
      <c r="D26" s="237"/>
      <c r="E26" s="237"/>
      <c r="F26" s="237"/>
      <c r="G26" s="237"/>
      <c r="H26" s="238"/>
      <c r="I26" s="239"/>
      <c r="J26" s="239"/>
      <c r="K26" s="137"/>
      <c r="M26" s="37"/>
      <c r="N26" s="247"/>
      <c r="O26" s="247"/>
      <c r="P26" s="321"/>
      <c r="Q26" s="321"/>
      <c r="R26" s="321"/>
      <c r="S26" s="37"/>
      <c r="T26" s="43"/>
      <c r="U26" s="43"/>
      <c r="V26" s="43"/>
      <c r="W26" s="43"/>
      <c r="X26" s="43"/>
      <c r="Y26" s="39"/>
      <c r="Z26" s="39"/>
      <c r="AA26" s="39"/>
    </row>
    <row r="27" spans="2:27" ht="15" customHeight="1" x14ac:dyDescent="0.15">
      <c r="B27" s="137"/>
      <c r="C27" s="237"/>
      <c r="D27" s="237"/>
      <c r="E27" s="237"/>
      <c r="F27" s="237"/>
      <c r="G27" s="237"/>
      <c r="H27" s="238"/>
      <c r="I27" s="239"/>
      <c r="J27" s="239"/>
      <c r="K27" s="137"/>
      <c r="M27" s="139"/>
      <c r="N27" s="247"/>
      <c r="O27" s="247"/>
      <c r="P27" s="321"/>
      <c r="Q27" s="321"/>
      <c r="R27" s="321"/>
      <c r="S27" s="139"/>
      <c r="T27" s="39"/>
      <c r="U27" s="39"/>
      <c r="V27" s="39"/>
      <c r="W27" s="39"/>
      <c r="X27" s="39"/>
      <c r="Y27" s="39"/>
      <c r="Z27" s="39"/>
      <c r="AA27" s="39"/>
    </row>
    <row r="28" spans="2:27" ht="15" customHeight="1" x14ac:dyDescent="0.15">
      <c r="B28" s="137"/>
      <c r="C28" s="237"/>
      <c r="D28" s="237"/>
      <c r="E28" s="237"/>
      <c r="F28" s="237"/>
      <c r="G28" s="237"/>
      <c r="H28" s="238"/>
      <c r="I28" s="239"/>
      <c r="J28" s="239"/>
      <c r="K28" s="137"/>
      <c r="M28" s="139"/>
      <c r="N28" s="247"/>
      <c r="O28" s="247"/>
      <c r="P28" s="321"/>
      <c r="Q28" s="321"/>
      <c r="R28" s="321"/>
      <c r="S28" s="139"/>
      <c r="T28" s="39"/>
      <c r="U28" s="39"/>
      <c r="V28" s="39"/>
      <c r="W28" s="39"/>
      <c r="X28" s="39"/>
      <c r="Y28" s="39"/>
      <c r="Z28" s="39"/>
      <c r="AA28" s="39"/>
    </row>
    <row r="29" spans="2:27" ht="15" customHeight="1" x14ac:dyDescent="0.15">
      <c r="B29" s="137"/>
      <c r="C29" s="237"/>
      <c r="D29" s="237"/>
      <c r="E29" s="237"/>
      <c r="F29" s="237"/>
      <c r="G29" s="237"/>
      <c r="H29" s="238"/>
      <c r="I29" s="239"/>
      <c r="J29" s="239"/>
      <c r="K29" s="137"/>
      <c r="M29" s="139"/>
      <c r="N29" s="247"/>
      <c r="O29" s="247"/>
      <c r="P29" s="321"/>
      <c r="Q29" s="321"/>
      <c r="R29" s="321"/>
      <c r="S29" s="139"/>
      <c r="T29" s="39"/>
      <c r="U29" s="39"/>
      <c r="V29" s="39"/>
      <c r="W29" s="39"/>
      <c r="X29" s="39"/>
      <c r="Y29" s="39"/>
      <c r="Z29" s="39"/>
      <c r="AA29" s="39"/>
    </row>
    <row r="30" spans="2:27" ht="15" customHeight="1" x14ac:dyDescent="0.15">
      <c r="B30" s="137"/>
      <c r="C30" s="237"/>
      <c r="D30" s="237"/>
      <c r="E30" s="237"/>
      <c r="F30" s="237"/>
      <c r="G30" s="237"/>
      <c r="H30" s="238"/>
      <c r="I30" s="239"/>
      <c r="J30" s="239"/>
      <c r="K30" s="137"/>
      <c r="M30" s="139"/>
      <c r="N30" s="247"/>
      <c r="O30" s="247"/>
      <c r="P30" s="321"/>
      <c r="Q30" s="321"/>
      <c r="R30" s="321"/>
      <c r="S30" s="139"/>
      <c r="T30" s="39"/>
      <c r="U30" s="39"/>
      <c r="V30" s="39"/>
      <c r="W30" s="39"/>
      <c r="X30" s="39"/>
      <c r="Y30" s="39"/>
      <c r="Z30" s="39"/>
      <c r="AA30" s="39"/>
    </row>
    <row r="31" spans="2:27" ht="15" customHeight="1" x14ac:dyDescent="0.15">
      <c r="B31" s="137"/>
      <c r="C31" s="237"/>
      <c r="D31" s="237"/>
      <c r="E31" s="237"/>
      <c r="F31" s="237"/>
      <c r="G31" s="237"/>
      <c r="H31" s="238"/>
      <c r="I31" s="239"/>
      <c r="J31" s="239"/>
      <c r="K31" s="137"/>
      <c r="M31" s="139"/>
      <c r="N31" s="247"/>
      <c r="O31" s="247"/>
      <c r="P31" s="321"/>
      <c r="Q31" s="321"/>
      <c r="R31" s="321"/>
      <c r="S31" s="139"/>
      <c r="T31" s="39"/>
      <c r="U31" s="39"/>
      <c r="V31" s="39"/>
      <c r="W31" s="39"/>
      <c r="X31" s="39"/>
      <c r="Y31" s="39"/>
      <c r="Z31" s="39"/>
      <c r="AA31" s="39"/>
    </row>
    <row r="32" spans="2:27" ht="15" customHeight="1" x14ac:dyDescent="0.15">
      <c r="B32" s="137"/>
      <c r="C32" s="237"/>
      <c r="D32" s="237"/>
      <c r="E32" s="237"/>
      <c r="F32" s="237"/>
      <c r="G32" s="237"/>
      <c r="H32" s="238"/>
      <c r="I32" s="239"/>
      <c r="J32" s="239"/>
      <c r="K32" s="137"/>
      <c r="M32" s="139"/>
      <c r="N32" s="247"/>
      <c r="O32" s="247"/>
      <c r="P32" s="321"/>
      <c r="Q32" s="321"/>
      <c r="R32" s="321"/>
      <c r="S32" s="139"/>
      <c r="T32" s="39"/>
      <c r="U32" s="39"/>
      <c r="V32" s="39"/>
      <c r="W32" s="39"/>
      <c r="X32" s="39"/>
      <c r="Y32" s="39"/>
      <c r="Z32" s="39"/>
      <c r="AA32" s="39"/>
    </row>
    <row r="33" spans="2:27" ht="15" customHeight="1" x14ac:dyDescent="0.15">
      <c r="B33" s="137"/>
      <c r="C33" s="237"/>
      <c r="D33" s="237"/>
      <c r="E33" s="237"/>
      <c r="F33" s="237"/>
      <c r="G33" s="237"/>
      <c r="H33" s="238"/>
      <c r="I33" s="239"/>
      <c r="J33" s="239"/>
      <c r="K33" s="137"/>
      <c r="M33" s="139"/>
      <c r="N33" s="247"/>
      <c r="O33" s="247"/>
      <c r="P33" s="321"/>
      <c r="Q33" s="321"/>
      <c r="R33" s="321"/>
      <c r="S33" s="139"/>
      <c r="T33" s="39"/>
      <c r="U33" s="39"/>
      <c r="V33" s="39"/>
      <c r="W33" s="39"/>
      <c r="X33" s="39"/>
      <c r="Y33" s="39"/>
      <c r="Z33" s="39"/>
      <c r="AA33" s="39"/>
    </row>
    <row r="34" spans="2:27" ht="15" customHeight="1" x14ac:dyDescent="0.15">
      <c r="B34" s="137"/>
      <c r="C34" s="237"/>
      <c r="D34" s="237"/>
      <c r="E34" s="237"/>
      <c r="F34" s="237"/>
      <c r="G34" s="237"/>
      <c r="H34" s="238"/>
      <c r="I34" s="239"/>
      <c r="J34" s="239"/>
      <c r="K34" s="137"/>
      <c r="M34" s="137"/>
      <c r="N34" s="248"/>
      <c r="O34" s="249"/>
      <c r="P34" s="322"/>
      <c r="Q34" s="322"/>
      <c r="R34" s="322"/>
      <c r="S34" s="137"/>
    </row>
    <row r="35" spans="2:27" ht="15" customHeight="1" x14ac:dyDescent="0.15">
      <c r="B35" s="137"/>
      <c r="C35" s="237"/>
      <c r="D35" s="237"/>
      <c r="E35" s="237"/>
      <c r="F35" s="237"/>
      <c r="G35" s="237"/>
      <c r="H35" s="238"/>
      <c r="I35" s="239"/>
      <c r="J35" s="239"/>
      <c r="K35" s="137"/>
      <c r="M35" s="137"/>
      <c r="N35" s="248"/>
      <c r="O35" s="249"/>
      <c r="P35" s="322"/>
      <c r="Q35" s="322"/>
      <c r="R35" s="322"/>
      <c r="S35" s="137"/>
    </row>
    <row r="36" spans="2:27" ht="15" customHeight="1" x14ac:dyDescent="0.15">
      <c r="B36" s="137"/>
      <c r="C36" s="237"/>
      <c r="D36" s="237"/>
      <c r="E36" s="237"/>
      <c r="F36" s="237"/>
      <c r="G36" s="237"/>
      <c r="H36" s="238"/>
      <c r="I36" s="239"/>
      <c r="J36" s="239"/>
      <c r="K36" s="137"/>
      <c r="M36" s="137"/>
      <c r="N36" s="45"/>
      <c r="O36" s="137"/>
      <c r="P36" s="137"/>
      <c r="Q36" s="137"/>
      <c r="R36" s="137"/>
      <c r="S36" s="137"/>
    </row>
    <row r="37" spans="2:27" ht="15" customHeight="1" x14ac:dyDescent="0.15">
      <c r="B37" s="137"/>
      <c r="C37" s="237"/>
      <c r="D37" s="237"/>
      <c r="E37" s="237"/>
      <c r="F37" s="237"/>
      <c r="G37" s="237"/>
      <c r="H37" s="238"/>
      <c r="I37" s="239"/>
      <c r="J37" s="239"/>
      <c r="K37" s="137"/>
      <c r="N37" s="46"/>
    </row>
    <row r="38" spans="2:27" ht="15" customHeight="1" x14ac:dyDescent="0.15">
      <c r="B38" s="137"/>
      <c r="C38" s="240" t="s">
        <v>476</v>
      </c>
      <c r="D38" s="240"/>
      <c r="E38" s="240" t="s">
        <v>34</v>
      </c>
      <c r="F38" s="240"/>
      <c r="G38" s="240" t="s">
        <v>157</v>
      </c>
      <c r="H38" s="240"/>
      <c r="I38" s="241" t="s">
        <v>474</v>
      </c>
      <c r="J38" s="240"/>
      <c r="K38" s="137"/>
      <c r="N38" s="46"/>
    </row>
    <row r="39" spans="2:27" ht="15" customHeight="1" x14ac:dyDescent="0.15">
      <c r="B39" s="137"/>
      <c r="C39" s="237" t="s">
        <v>483</v>
      </c>
      <c r="D39" s="237"/>
      <c r="E39" s="237" t="s">
        <v>485</v>
      </c>
      <c r="F39" s="237"/>
      <c r="G39" s="237" t="s">
        <v>484</v>
      </c>
      <c r="H39" s="238"/>
      <c r="I39" s="239">
        <v>-3</v>
      </c>
      <c r="J39" s="239"/>
      <c r="K39" s="137"/>
      <c r="N39" s="46"/>
    </row>
    <row r="40" spans="2:27" ht="15" customHeight="1" x14ac:dyDescent="0.15">
      <c r="B40" s="137"/>
      <c r="C40" s="237"/>
      <c r="D40" s="237"/>
      <c r="E40" s="237"/>
      <c r="F40" s="237"/>
      <c r="G40" s="237"/>
      <c r="H40" s="238"/>
      <c r="I40" s="239"/>
      <c r="J40" s="239"/>
      <c r="K40" s="137"/>
      <c r="N40" s="46"/>
    </row>
    <row r="41" spans="2:27" ht="15" customHeight="1" x14ac:dyDescent="0.15">
      <c r="B41" s="137"/>
      <c r="C41" s="237"/>
      <c r="D41" s="237"/>
      <c r="E41" s="237"/>
      <c r="F41" s="237"/>
      <c r="G41" s="237"/>
      <c r="H41" s="238"/>
      <c r="I41" s="239"/>
      <c r="J41" s="239"/>
      <c r="K41" s="137"/>
      <c r="N41" s="46"/>
    </row>
    <row r="42" spans="2:27" ht="15" customHeight="1" x14ac:dyDescent="0.15">
      <c r="B42" s="137"/>
      <c r="C42" s="237"/>
      <c r="D42" s="237"/>
      <c r="E42" s="237"/>
      <c r="F42" s="237"/>
      <c r="G42" s="237"/>
      <c r="H42" s="238"/>
      <c r="I42" s="239"/>
      <c r="J42" s="239"/>
      <c r="K42" s="137"/>
    </row>
    <row r="43" spans="2:27" ht="15" customHeight="1" x14ac:dyDescent="0.15">
      <c r="B43" s="137"/>
      <c r="C43" s="237"/>
      <c r="D43" s="237"/>
      <c r="E43" s="237"/>
      <c r="F43" s="237"/>
      <c r="G43" s="237"/>
      <c r="H43" s="238"/>
      <c r="I43" s="239"/>
      <c r="J43" s="239"/>
      <c r="K43" s="137"/>
    </row>
    <row r="44" spans="2:27" ht="15" customHeight="1" x14ac:dyDescent="0.15">
      <c r="B44" s="137"/>
      <c r="C44" s="237"/>
      <c r="D44" s="237"/>
      <c r="E44" s="237"/>
      <c r="F44" s="237"/>
      <c r="G44" s="237"/>
      <c r="H44" s="238"/>
      <c r="I44" s="239"/>
      <c r="J44" s="239"/>
      <c r="K44" s="137"/>
    </row>
    <row r="45" spans="2:27" ht="15" customHeight="1" x14ac:dyDescent="0.15">
      <c r="B45" s="137"/>
      <c r="C45" s="237"/>
      <c r="D45" s="237"/>
      <c r="E45" s="237"/>
      <c r="F45" s="237"/>
      <c r="G45" s="237"/>
      <c r="H45" s="238"/>
      <c r="I45" s="239"/>
      <c r="J45" s="239"/>
      <c r="K45" s="137"/>
    </row>
    <row r="46" spans="2:27" ht="15" customHeight="1" x14ac:dyDescent="0.15">
      <c r="B46" s="137"/>
      <c r="C46" s="237"/>
      <c r="D46" s="237"/>
      <c r="E46" s="237"/>
      <c r="F46" s="237"/>
      <c r="G46" s="237"/>
      <c r="H46" s="238"/>
      <c r="I46" s="239"/>
      <c r="J46" s="239"/>
      <c r="K46" s="137"/>
    </row>
    <row r="47" spans="2:27" ht="15" customHeight="1" x14ac:dyDescent="0.15">
      <c r="B47" s="137"/>
      <c r="C47" s="237"/>
      <c r="D47" s="237"/>
      <c r="E47" s="237"/>
      <c r="F47" s="237"/>
      <c r="G47" s="237"/>
      <c r="H47" s="238"/>
      <c r="I47" s="239"/>
      <c r="J47" s="239"/>
      <c r="K47" s="137"/>
    </row>
    <row r="48" spans="2:27" ht="15" customHeight="1" x14ac:dyDescent="0.15">
      <c r="B48" s="137"/>
      <c r="C48" s="237"/>
      <c r="D48" s="237"/>
      <c r="E48" s="237"/>
      <c r="F48" s="237"/>
      <c r="G48" s="237"/>
      <c r="H48" s="238"/>
      <c r="I48" s="239"/>
      <c r="J48" s="239"/>
      <c r="K48" s="137"/>
    </row>
    <row r="49" spans="2:11" ht="15" customHeight="1" x14ac:dyDescent="0.15">
      <c r="B49" s="137"/>
      <c r="C49" s="237"/>
      <c r="D49" s="237"/>
      <c r="E49" s="237"/>
      <c r="F49" s="237"/>
      <c r="G49" s="237"/>
      <c r="H49" s="238"/>
      <c r="I49" s="239"/>
      <c r="J49" s="239"/>
      <c r="K49" s="137"/>
    </row>
    <row r="50" spans="2:11" ht="15" customHeight="1" x14ac:dyDescent="0.15">
      <c r="B50" s="137"/>
      <c r="C50" s="237"/>
      <c r="D50" s="237"/>
      <c r="E50" s="237"/>
      <c r="F50" s="237"/>
      <c r="G50" s="237"/>
      <c r="H50" s="238"/>
      <c r="I50" s="239"/>
      <c r="J50" s="239"/>
      <c r="K50" s="137"/>
    </row>
    <row r="51" spans="2:11" ht="15" customHeight="1" x14ac:dyDescent="0.15">
      <c r="B51" s="137"/>
      <c r="C51" s="237"/>
      <c r="D51" s="237"/>
      <c r="E51" s="237"/>
      <c r="F51" s="237"/>
      <c r="G51" s="237"/>
      <c r="H51" s="238"/>
      <c r="I51" s="239"/>
      <c r="J51" s="239"/>
      <c r="K51" s="137"/>
    </row>
    <row r="52" spans="2:11" ht="15" customHeight="1" x14ac:dyDescent="0.15">
      <c r="B52" s="137"/>
      <c r="C52" s="237"/>
      <c r="D52" s="237"/>
      <c r="E52" s="237"/>
      <c r="F52" s="237"/>
      <c r="G52" s="237"/>
      <c r="H52" s="238"/>
      <c r="I52" s="239"/>
      <c r="J52" s="239"/>
      <c r="K52" s="137"/>
    </row>
    <row r="53" spans="2:11" ht="15" customHeight="1" x14ac:dyDescent="0.15">
      <c r="B53" s="137"/>
      <c r="C53" s="237"/>
      <c r="D53" s="237"/>
      <c r="E53" s="237"/>
      <c r="F53" s="237"/>
      <c r="G53" s="237"/>
      <c r="H53" s="238"/>
      <c r="I53" s="239"/>
      <c r="J53" s="239"/>
      <c r="K53" s="137"/>
    </row>
    <row r="54" spans="2:11" ht="15" customHeight="1" x14ac:dyDescent="0.15">
      <c r="B54" s="137"/>
      <c r="C54" s="237"/>
      <c r="D54" s="237"/>
      <c r="E54" s="237"/>
      <c r="F54" s="237"/>
      <c r="G54" s="237"/>
      <c r="H54" s="238"/>
      <c r="I54" s="239"/>
      <c r="J54" s="239"/>
      <c r="K54" s="137"/>
    </row>
    <row r="55" spans="2:11" ht="15" customHeight="1" x14ac:dyDescent="0.15">
      <c r="B55" s="137"/>
      <c r="C55" s="237"/>
      <c r="D55" s="237"/>
      <c r="E55" s="237"/>
      <c r="F55" s="237"/>
      <c r="G55" s="237"/>
      <c r="H55" s="238"/>
      <c r="I55" s="239"/>
      <c r="J55" s="239"/>
      <c r="K55" s="137"/>
    </row>
    <row r="56" spans="2:11" ht="15" customHeight="1" x14ac:dyDescent="0.15">
      <c r="B56" s="137"/>
      <c r="C56" s="137"/>
      <c r="D56" s="137"/>
      <c r="E56" s="137"/>
      <c r="F56" s="137"/>
      <c r="G56" s="137"/>
      <c r="H56" s="137"/>
      <c r="I56" s="137"/>
      <c r="J56" s="137"/>
      <c r="K56" s="137"/>
    </row>
  </sheetData>
  <mergeCells count="33">
    <mergeCell ref="E2:K2"/>
    <mergeCell ref="P2:S2"/>
    <mergeCell ref="Q4:R4"/>
    <mergeCell ref="N6:P6"/>
    <mergeCell ref="N7:O7"/>
    <mergeCell ref="Q7:R7"/>
    <mergeCell ref="N8:O8"/>
    <mergeCell ref="N9:O9"/>
    <mergeCell ref="N10:O10"/>
    <mergeCell ref="N11:O11"/>
    <mergeCell ref="N12:O12"/>
    <mergeCell ref="P26:R26"/>
    <mergeCell ref="N13:O13"/>
    <mergeCell ref="N14:O14"/>
    <mergeCell ref="N15:O15"/>
    <mergeCell ref="N16:O16"/>
    <mergeCell ref="P21:R21"/>
    <mergeCell ref="P32:R32"/>
    <mergeCell ref="P33:R33"/>
    <mergeCell ref="P34:R34"/>
    <mergeCell ref="P35:R35"/>
    <mergeCell ref="G4:G5"/>
    <mergeCell ref="H4:H5"/>
    <mergeCell ref="Q5:R6"/>
    <mergeCell ref="P27:R27"/>
    <mergeCell ref="P28:R28"/>
    <mergeCell ref="P29:R29"/>
    <mergeCell ref="P30:R30"/>
    <mergeCell ref="P31:R31"/>
    <mergeCell ref="P22:R22"/>
    <mergeCell ref="P23:R23"/>
    <mergeCell ref="P24:R24"/>
    <mergeCell ref="P25:R25"/>
  </mergeCells>
  <phoneticPr fontId="33" type="noConversion"/>
  <conditionalFormatting sqref="Q5:R6">
    <cfRule type="expression" dxfId="3" priority="1">
      <formula>P5=2</formula>
    </cfRule>
    <cfRule type="expression" dxfId="2" priority="2">
      <formula>P5="1"</formula>
    </cfRule>
    <cfRule type="expression" dxfId="1" priority="3">
      <formula>Q5="严重赛博精神病"</formula>
    </cfRule>
    <cfRule type="expression" dxfId="0" priority="4">
      <formula>Q5="赛博精神病"</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B2:V61"/>
  <sheetViews>
    <sheetView workbookViewId="0">
      <pane ySplit="4" topLeftCell="A5" activePane="bottomLeft" state="frozen"/>
      <selection pane="bottomLeft" activeCell="K21" sqref="K21"/>
    </sheetView>
  </sheetViews>
  <sheetFormatPr defaultColWidth="8.875" defaultRowHeight="15" customHeight="1" x14ac:dyDescent="0.15"/>
  <cols>
    <col min="1" max="1" width="2.625" style="35" customWidth="1"/>
    <col min="2" max="2" width="1.75" style="35" customWidth="1"/>
    <col min="3" max="5" width="9.625" style="35" customWidth="1"/>
    <col min="6" max="6" width="13.625" style="35" customWidth="1"/>
    <col min="7" max="7" width="1.75" style="35" customWidth="1"/>
    <col min="8" max="8" width="2.625" style="35" customWidth="1"/>
    <col min="9" max="9" width="1.75" style="35" customWidth="1"/>
    <col min="10" max="10" width="10.625" style="35" customWidth="1"/>
    <col min="11" max="11" width="30.625" style="35" customWidth="1"/>
    <col min="12" max="14" width="10.625" style="35" customWidth="1"/>
    <col min="15" max="16" width="30.625" style="35" customWidth="1"/>
    <col min="17" max="17" width="13.625" style="35" customWidth="1"/>
    <col min="18" max="18" width="10.625" style="35" customWidth="1"/>
    <col min="19" max="21" width="30.625" style="35" customWidth="1"/>
    <col min="22" max="22" width="1.75" style="35" customWidth="1"/>
    <col min="23" max="16384" width="8.875" style="35"/>
  </cols>
  <sheetData>
    <row r="2" spans="2:22" ht="15" customHeight="1" x14ac:dyDescent="0.15">
      <c r="B2" s="92"/>
      <c r="C2" s="92" t="s">
        <v>590</v>
      </c>
      <c r="D2" s="313" t="s">
        <v>589</v>
      </c>
      <c r="E2" s="313"/>
      <c r="F2" s="313"/>
      <c r="G2" s="313"/>
      <c r="I2" s="92"/>
      <c r="J2" s="92"/>
      <c r="K2" s="92" t="s">
        <v>605</v>
      </c>
      <c r="L2" s="91"/>
      <c r="M2" s="327" t="s">
        <v>261</v>
      </c>
      <c r="N2" s="327"/>
      <c r="O2" s="91"/>
      <c r="P2" s="91"/>
      <c r="Q2" s="327" t="s">
        <v>262</v>
      </c>
      <c r="R2" s="327"/>
      <c r="S2" s="91"/>
      <c r="T2" s="91"/>
      <c r="U2" s="91"/>
      <c r="V2" s="91"/>
    </row>
    <row r="3" spans="2:22" ht="15" customHeight="1" x14ac:dyDescent="0.15">
      <c r="B3" s="94"/>
      <c r="C3" s="94"/>
      <c r="D3" s="94"/>
      <c r="E3" s="94"/>
      <c r="F3" s="94"/>
      <c r="G3" s="94"/>
      <c r="I3" s="94"/>
      <c r="J3" s="94"/>
      <c r="K3" s="94"/>
      <c r="L3" s="94"/>
      <c r="M3" s="94"/>
      <c r="N3" s="94"/>
      <c r="O3" s="94"/>
      <c r="P3" s="94"/>
      <c r="Q3" s="94"/>
      <c r="R3" s="94"/>
      <c r="S3" s="94"/>
      <c r="T3" s="94"/>
      <c r="U3" s="94"/>
      <c r="V3" s="94"/>
    </row>
    <row r="4" spans="2:22" ht="15" customHeight="1" x14ac:dyDescent="0.15">
      <c r="B4" s="94"/>
      <c r="C4" s="272" t="s">
        <v>263</v>
      </c>
      <c r="D4" s="272"/>
      <c r="E4" s="272"/>
      <c r="F4" s="272"/>
      <c r="G4" s="94"/>
      <c r="I4" s="94"/>
      <c r="J4" s="93" t="s">
        <v>264</v>
      </c>
      <c r="K4" s="93" t="s">
        <v>265</v>
      </c>
      <c r="L4" s="93" t="s">
        <v>266</v>
      </c>
      <c r="M4" s="93" t="s">
        <v>267</v>
      </c>
      <c r="N4" s="93" t="s">
        <v>268</v>
      </c>
      <c r="O4" s="93" t="s">
        <v>269</v>
      </c>
      <c r="P4" s="93" t="s">
        <v>270</v>
      </c>
      <c r="Q4" s="93" t="s">
        <v>271</v>
      </c>
      <c r="R4" s="93" t="s">
        <v>272</v>
      </c>
      <c r="S4" s="93" t="s">
        <v>273</v>
      </c>
      <c r="T4" s="93" t="s">
        <v>274</v>
      </c>
      <c r="U4" s="93" t="s">
        <v>275</v>
      </c>
      <c r="V4" s="94"/>
    </row>
    <row r="5" spans="2:22" ht="15" customHeight="1" x14ac:dyDescent="0.15">
      <c r="B5" s="94"/>
      <c r="C5" s="241" t="s">
        <v>276</v>
      </c>
      <c r="D5" s="241" t="s">
        <v>604</v>
      </c>
      <c r="E5" s="241" t="s">
        <v>277</v>
      </c>
      <c r="F5" s="241" t="s">
        <v>148</v>
      </c>
      <c r="G5" s="94"/>
      <c r="I5" s="94"/>
      <c r="J5" s="114">
        <v>46203</v>
      </c>
      <c r="K5" s="115" t="s">
        <v>278</v>
      </c>
      <c r="L5" s="113"/>
      <c r="M5" s="113"/>
      <c r="N5" s="113"/>
      <c r="O5" s="113"/>
      <c r="P5" s="113"/>
      <c r="Q5" s="113"/>
      <c r="R5" s="113"/>
      <c r="S5" s="113"/>
      <c r="T5" s="113"/>
      <c r="U5" s="113"/>
      <c r="V5" s="94"/>
    </row>
    <row r="6" spans="2:22" ht="15" customHeight="1" x14ac:dyDescent="0.15">
      <c r="B6" s="94"/>
      <c r="C6" s="243">
        <f>R61</f>
        <v>0</v>
      </c>
      <c r="D6" s="243">
        <f>SUM(F9:F18)</f>
        <v>0</v>
      </c>
      <c r="E6" s="243">
        <f>SUM(F21:F60)</f>
        <v>0</v>
      </c>
      <c r="F6" s="243">
        <f>C6-D6-E6</f>
        <v>0</v>
      </c>
      <c r="G6" s="94"/>
      <c r="I6" s="94"/>
      <c r="J6" s="114"/>
      <c r="K6" s="116"/>
      <c r="L6" s="113"/>
      <c r="M6" s="113"/>
      <c r="N6" s="113"/>
      <c r="O6" s="113"/>
      <c r="P6" s="113"/>
      <c r="Q6" s="113"/>
      <c r="R6" s="113"/>
      <c r="S6" s="113"/>
      <c r="T6" s="113"/>
      <c r="U6" s="113"/>
      <c r="V6" s="94"/>
    </row>
    <row r="7" spans="2:22" ht="15" customHeight="1" x14ac:dyDescent="0.15">
      <c r="B7" s="94"/>
      <c r="C7" s="272" t="s">
        <v>591</v>
      </c>
      <c r="D7" s="272"/>
      <c r="E7" s="272"/>
      <c r="F7" s="272"/>
      <c r="G7" s="94"/>
      <c r="I7" s="94"/>
      <c r="J7" s="114"/>
      <c r="K7" s="116"/>
      <c r="L7" s="113"/>
      <c r="M7" s="113"/>
      <c r="N7" s="113"/>
      <c r="O7" s="112"/>
      <c r="P7" s="113"/>
      <c r="Q7" s="113"/>
      <c r="R7" s="113"/>
      <c r="S7" s="112"/>
      <c r="T7" s="113"/>
      <c r="U7" s="113"/>
      <c r="V7" s="94"/>
    </row>
    <row r="8" spans="2:22" ht="15" customHeight="1" x14ac:dyDescent="0.15">
      <c r="B8" s="94"/>
      <c r="C8" s="241" t="s">
        <v>592</v>
      </c>
      <c r="D8" s="241" t="s">
        <v>279</v>
      </c>
      <c r="E8" s="241" t="s">
        <v>280</v>
      </c>
      <c r="F8" s="241" t="s">
        <v>603</v>
      </c>
      <c r="G8" s="94"/>
      <c r="I8" s="94"/>
      <c r="J8" s="114"/>
      <c r="K8" s="116"/>
      <c r="L8" s="113"/>
      <c r="M8" s="113"/>
      <c r="N8" s="113"/>
      <c r="O8" s="113"/>
      <c r="P8" s="113"/>
      <c r="Q8" s="113"/>
      <c r="R8" s="113"/>
      <c r="S8" s="113"/>
      <c r="T8" s="113"/>
      <c r="U8" s="113"/>
      <c r="V8" s="94"/>
    </row>
    <row r="9" spans="2:22" ht="15" customHeight="1" x14ac:dyDescent="0.15">
      <c r="B9" s="94"/>
      <c r="C9" s="241" t="s">
        <v>593</v>
      </c>
      <c r="D9" s="249"/>
      <c r="E9" s="249"/>
      <c r="F9" s="249"/>
      <c r="G9" s="94"/>
      <c r="I9" s="94"/>
      <c r="J9" s="114"/>
      <c r="K9" s="116"/>
      <c r="L9" s="113"/>
      <c r="M9" s="113"/>
      <c r="N9" s="113"/>
      <c r="O9" s="113"/>
      <c r="P9" s="113"/>
      <c r="Q9" s="113"/>
      <c r="R9" s="113"/>
      <c r="S9" s="113"/>
      <c r="T9" s="113"/>
      <c r="U9" s="113"/>
      <c r="V9" s="94"/>
    </row>
    <row r="10" spans="2:22" ht="15" customHeight="1" x14ac:dyDescent="0.15">
      <c r="B10" s="94"/>
      <c r="C10" s="241" t="s">
        <v>598</v>
      </c>
      <c r="D10" s="249"/>
      <c r="E10" s="249"/>
      <c r="F10" s="249"/>
      <c r="G10" s="94"/>
      <c r="I10" s="94"/>
      <c r="J10" s="114"/>
      <c r="K10" s="113"/>
      <c r="L10" s="113"/>
      <c r="M10" s="113"/>
      <c r="N10" s="113"/>
      <c r="O10" s="113"/>
      <c r="P10" s="113"/>
      <c r="Q10" s="113"/>
      <c r="R10" s="113"/>
      <c r="S10" s="113"/>
      <c r="T10" s="113"/>
      <c r="U10" s="113"/>
      <c r="V10" s="94"/>
    </row>
    <row r="11" spans="2:22" ht="15" customHeight="1" x14ac:dyDescent="0.15">
      <c r="B11" s="94"/>
      <c r="C11" s="241" t="s">
        <v>599</v>
      </c>
      <c r="D11" s="249"/>
      <c r="E11" s="249"/>
      <c r="F11" s="249"/>
      <c r="G11" s="94"/>
      <c r="I11" s="94"/>
      <c r="J11" s="114"/>
      <c r="K11" s="113"/>
      <c r="L11" s="113"/>
      <c r="M11" s="113"/>
      <c r="N11" s="113"/>
      <c r="O11" s="113"/>
      <c r="P11" s="113"/>
      <c r="Q11" s="113"/>
      <c r="R11" s="113"/>
      <c r="S11" s="113"/>
      <c r="T11" s="113"/>
      <c r="U11" s="113"/>
      <c r="V11" s="94"/>
    </row>
    <row r="12" spans="2:22" ht="15" customHeight="1" x14ac:dyDescent="0.15">
      <c r="B12" s="94"/>
      <c r="C12" s="241" t="s">
        <v>594</v>
      </c>
      <c r="D12" s="249"/>
      <c r="E12" s="249"/>
      <c r="F12" s="249"/>
      <c r="G12" s="94"/>
      <c r="I12" s="94"/>
      <c r="J12" s="114"/>
      <c r="K12" s="113"/>
      <c r="L12" s="113"/>
      <c r="M12" s="113"/>
      <c r="N12" s="113"/>
      <c r="O12" s="113"/>
      <c r="P12" s="113"/>
      <c r="Q12" s="113"/>
      <c r="R12" s="113"/>
      <c r="S12" s="113"/>
      <c r="T12" s="113"/>
      <c r="U12" s="113"/>
      <c r="V12" s="94"/>
    </row>
    <row r="13" spans="2:22" ht="15" customHeight="1" x14ac:dyDescent="0.15">
      <c r="B13" s="94"/>
      <c r="C13" s="241" t="s">
        <v>595</v>
      </c>
      <c r="D13" s="249"/>
      <c r="E13" s="249"/>
      <c r="F13" s="249"/>
      <c r="G13" s="94"/>
      <c r="I13" s="94"/>
      <c r="J13" s="114"/>
      <c r="K13" s="113"/>
      <c r="L13" s="113"/>
      <c r="M13" s="113"/>
      <c r="N13" s="113"/>
      <c r="O13" s="113"/>
      <c r="P13" s="113"/>
      <c r="Q13" s="113"/>
      <c r="R13" s="113"/>
      <c r="S13" s="113"/>
      <c r="T13" s="113"/>
      <c r="U13" s="113"/>
      <c r="V13" s="94"/>
    </row>
    <row r="14" spans="2:22" ht="15" customHeight="1" x14ac:dyDescent="0.15">
      <c r="B14" s="94"/>
      <c r="C14" s="241" t="s">
        <v>596</v>
      </c>
      <c r="D14" s="249"/>
      <c r="E14" s="249"/>
      <c r="F14" s="249"/>
      <c r="G14" s="94"/>
      <c r="I14" s="94"/>
      <c r="J14" s="114"/>
      <c r="K14" s="113"/>
      <c r="L14" s="113"/>
      <c r="M14" s="113"/>
      <c r="N14" s="113"/>
      <c r="O14" s="113"/>
      <c r="P14" s="113"/>
      <c r="Q14" s="113"/>
      <c r="R14" s="113"/>
      <c r="S14" s="113"/>
      <c r="T14" s="113"/>
      <c r="U14" s="113"/>
      <c r="V14" s="94"/>
    </row>
    <row r="15" spans="2:22" ht="15" customHeight="1" x14ac:dyDescent="0.15">
      <c r="B15" s="94"/>
      <c r="C15" s="241" t="s">
        <v>597</v>
      </c>
      <c r="D15" s="249"/>
      <c r="E15" s="249"/>
      <c r="F15" s="249"/>
      <c r="G15" s="94"/>
      <c r="I15" s="94"/>
      <c r="J15" s="114"/>
      <c r="K15" s="113"/>
      <c r="L15" s="113"/>
      <c r="M15" s="113"/>
      <c r="N15" s="113"/>
      <c r="O15" s="113"/>
      <c r="P15" s="113"/>
      <c r="Q15" s="113"/>
      <c r="R15" s="113"/>
      <c r="S15" s="113"/>
      <c r="T15" s="113"/>
      <c r="U15" s="113"/>
      <c r="V15" s="94"/>
    </row>
    <row r="16" spans="2:22" ht="15" customHeight="1" x14ac:dyDescent="0.15">
      <c r="B16" s="94"/>
      <c r="C16" s="241" t="s">
        <v>600</v>
      </c>
      <c r="D16" s="249"/>
      <c r="E16" s="249"/>
      <c r="F16" s="249"/>
      <c r="G16" s="94"/>
      <c r="I16" s="94"/>
      <c r="J16" s="114"/>
      <c r="K16" s="113"/>
      <c r="L16" s="113"/>
      <c r="M16" s="113"/>
      <c r="N16" s="113"/>
      <c r="O16" s="113"/>
      <c r="P16" s="113"/>
      <c r="Q16" s="113"/>
      <c r="R16" s="113"/>
      <c r="S16" s="113"/>
      <c r="T16" s="113"/>
      <c r="U16" s="113"/>
      <c r="V16" s="94"/>
    </row>
    <row r="17" spans="2:22" ht="15" customHeight="1" x14ac:dyDescent="0.15">
      <c r="B17" s="94"/>
      <c r="C17" s="241" t="s">
        <v>601</v>
      </c>
      <c r="D17" s="249"/>
      <c r="E17" s="249"/>
      <c r="F17" s="249"/>
      <c r="G17" s="94"/>
      <c r="I17" s="94"/>
      <c r="J17" s="114"/>
      <c r="K17" s="113"/>
      <c r="L17" s="113"/>
      <c r="M17" s="113"/>
      <c r="N17" s="113"/>
      <c r="O17" s="113"/>
      <c r="P17" s="113"/>
      <c r="Q17" s="113"/>
      <c r="R17" s="113"/>
      <c r="S17" s="113"/>
      <c r="T17" s="113"/>
      <c r="U17" s="113"/>
      <c r="V17" s="94"/>
    </row>
    <row r="18" spans="2:22" ht="15" customHeight="1" x14ac:dyDescent="0.15">
      <c r="B18" s="94"/>
      <c r="C18" s="241" t="s">
        <v>602</v>
      </c>
      <c r="D18" s="249"/>
      <c r="E18" s="249"/>
      <c r="F18" s="249"/>
      <c r="G18" s="94"/>
      <c r="I18" s="94"/>
      <c r="J18" s="114"/>
      <c r="K18" s="113"/>
      <c r="L18" s="113"/>
      <c r="M18" s="113"/>
      <c r="N18" s="113"/>
      <c r="O18" s="113"/>
      <c r="P18" s="113"/>
      <c r="Q18" s="113"/>
      <c r="R18" s="113"/>
      <c r="S18" s="113"/>
      <c r="T18" s="113"/>
      <c r="U18" s="113"/>
      <c r="V18" s="94"/>
    </row>
    <row r="19" spans="2:22" ht="15" customHeight="1" x14ac:dyDescent="0.15">
      <c r="B19" s="94"/>
      <c r="C19" s="272" t="s">
        <v>290</v>
      </c>
      <c r="D19" s="272"/>
      <c r="E19" s="272"/>
      <c r="F19" s="272"/>
      <c r="G19" s="94"/>
      <c r="I19" s="94"/>
      <c r="J19" s="114"/>
      <c r="K19" s="113"/>
      <c r="L19" s="113"/>
      <c r="M19" s="113"/>
      <c r="N19" s="113"/>
      <c r="O19" s="113"/>
      <c r="P19" s="113"/>
      <c r="Q19" s="113"/>
      <c r="R19" s="113"/>
      <c r="S19" s="113"/>
      <c r="T19" s="113"/>
      <c r="U19" s="113"/>
      <c r="V19" s="94"/>
    </row>
    <row r="20" spans="2:22" ht="15" customHeight="1" x14ac:dyDescent="0.15">
      <c r="B20" s="94"/>
      <c r="C20" s="241" t="s">
        <v>291</v>
      </c>
      <c r="D20" s="241" t="s">
        <v>292</v>
      </c>
      <c r="E20" s="241" t="s">
        <v>293</v>
      </c>
      <c r="F20" s="241" t="s">
        <v>603</v>
      </c>
      <c r="G20" s="94"/>
      <c r="I20" s="94"/>
      <c r="J20" s="114"/>
      <c r="K20" s="113"/>
      <c r="L20" s="113"/>
      <c r="M20" s="113"/>
      <c r="N20" s="113"/>
      <c r="O20" s="113"/>
      <c r="P20" s="113"/>
      <c r="Q20" s="113"/>
      <c r="R20" s="113"/>
      <c r="S20" s="113"/>
      <c r="T20" s="113"/>
      <c r="U20" s="113"/>
      <c r="V20" s="94"/>
    </row>
    <row r="21" spans="2:22" ht="15" customHeight="1" x14ac:dyDescent="0.15">
      <c r="B21" s="94"/>
      <c r="C21" s="249"/>
      <c r="D21" s="249"/>
      <c r="E21" s="249"/>
      <c r="F21" s="249"/>
      <c r="G21" s="94"/>
      <c r="I21" s="94"/>
      <c r="J21" s="114"/>
      <c r="K21" s="113"/>
      <c r="L21" s="113"/>
      <c r="M21" s="113"/>
      <c r="N21" s="113"/>
      <c r="O21" s="113"/>
      <c r="P21" s="113"/>
      <c r="Q21" s="113"/>
      <c r="R21" s="113"/>
      <c r="S21" s="113"/>
      <c r="T21" s="113"/>
      <c r="U21" s="113"/>
      <c r="V21" s="94"/>
    </row>
    <row r="22" spans="2:22" ht="15" customHeight="1" x14ac:dyDescent="0.15">
      <c r="B22" s="94"/>
      <c r="C22" s="249"/>
      <c r="D22" s="249"/>
      <c r="E22" s="249"/>
      <c r="F22" s="249"/>
      <c r="G22" s="94"/>
      <c r="I22" s="94"/>
      <c r="J22" s="114"/>
      <c r="K22" s="113"/>
      <c r="L22" s="113"/>
      <c r="M22" s="113"/>
      <c r="N22" s="113"/>
      <c r="O22" s="113"/>
      <c r="P22" s="113"/>
      <c r="Q22" s="113"/>
      <c r="R22" s="113"/>
      <c r="S22" s="113"/>
      <c r="T22" s="113"/>
      <c r="U22" s="113"/>
      <c r="V22" s="94"/>
    </row>
    <row r="23" spans="2:22" ht="15" customHeight="1" x14ac:dyDescent="0.15">
      <c r="B23" s="94"/>
      <c r="C23" s="249"/>
      <c r="D23" s="249"/>
      <c r="E23" s="249"/>
      <c r="F23" s="249"/>
      <c r="G23" s="94"/>
      <c r="I23" s="94"/>
      <c r="J23" s="114"/>
      <c r="K23" s="113"/>
      <c r="L23" s="113"/>
      <c r="M23" s="113"/>
      <c r="N23" s="113"/>
      <c r="O23" s="113"/>
      <c r="P23" s="113"/>
      <c r="Q23" s="113"/>
      <c r="R23" s="113"/>
      <c r="S23" s="113"/>
      <c r="T23" s="113"/>
      <c r="U23" s="113"/>
      <c r="V23" s="94"/>
    </row>
    <row r="24" spans="2:22" ht="15" customHeight="1" x14ac:dyDescent="0.15">
      <c r="B24" s="94"/>
      <c r="C24" s="249"/>
      <c r="D24" s="249"/>
      <c r="E24" s="249"/>
      <c r="F24" s="249"/>
      <c r="G24" s="94"/>
      <c r="I24" s="94"/>
      <c r="J24" s="114"/>
      <c r="K24" s="113"/>
      <c r="L24" s="113"/>
      <c r="M24" s="113"/>
      <c r="N24" s="113"/>
      <c r="O24" s="113"/>
      <c r="P24" s="113"/>
      <c r="Q24" s="113"/>
      <c r="R24" s="113"/>
      <c r="S24" s="113"/>
      <c r="T24" s="113"/>
      <c r="U24" s="113"/>
      <c r="V24" s="94"/>
    </row>
    <row r="25" spans="2:22" ht="15" customHeight="1" x14ac:dyDescent="0.15">
      <c r="B25" s="94"/>
      <c r="C25" s="249"/>
      <c r="D25" s="249"/>
      <c r="E25" s="249"/>
      <c r="F25" s="249"/>
      <c r="G25" s="94"/>
      <c r="I25" s="94"/>
      <c r="J25" s="114"/>
      <c r="K25" s="113"/>
      <c r="L25" s="113"/>
      <c r="M25" s="113"/>
      <c r="N25" s="113"/>
      <c r="O25" s="113"/>
      <c r="P25" s="113"/>
      <c r="Q25" s="113"/>
      <c r="R25" s="113"/>
      <c r="S25" s="113"/>
      <c r="T25" s="113"/>
      <c r="U25" s="113"/>
      <c r="V25" s="94"/>
    </row>
    <row r="26" spans="2:22" ht="15" customHeight="1" x14ac:dyDescent="0.15">
      <c r="B26" s="94"/>
      <c r="C26" s="249"/>
      <c r="D26" s="249"/>
      <c r="E26" s="249"/>
      <c r="F26" s="249"/>
      <c r="G26" s="94"/>
      <c r="I26" s="94"/>
      <c r="J26" s="114"/>
      <c r="K26" s="113"/>
      <c r="L26" s="113"/>
      <c r="M26" s="113"/>
      <c r="N26" s="113"/>
      <c r="O26" s="113"/>
      <c r="P26" s="113"/>
      <c r="Q26" s="113"/>
      <c r="R26" s="113"/>
      <c r="S26" s="113"/>
      <c r="T26" s="113"/>
      <c r="U26" s="113"/>
      <c r="V26" s="94"/>
    </row>
    <row r="27" spans="2:22" ht="15" customHeight="1" x14ac:dyDescent="0.15">
      <c r="B27" s="94"/>
      <c r="C27" s="249"/>
      <c r="D27" s="249"/>
      <c r="E27" s="249"/>
      <c r="F27" s="249"/>
      <c r="G27" s="94"/>
      <c r="I27" s="94"/>
      <c r="J27" s="114"/>
      <c r="K27" s="113"/>
      <c r="L27" s="113"/>
      <c r="M27" s="113"/>
      <c r="N27" s="113"/>
      <c r="O27" s="113"/>
      <c r="P27" s="113"/>
      <c r="Q27" s="113"/>
      <c r="R27" s="113"/>
      <c r="S27" s="113"/>
      <c r="T27" s="113"/>
      <c r="U27" s="113"/>
      <c r="V27" s="94"/>
    </row>
    <row r="28" spans="2:22" ht="15" customHeight="1" x14ac:dyDescent="0.15">
      <c r="B28" s="94"/>
      <c r="C28" s="249"/>
      <c r="D28" s="249"/>
      <c r="E28" s="249"/>
      <c r="F28" s="249"/>
      <c r="G28" s="94"/>
      <c r="I28" s="94"/>
      <c r="J28" s="114"/>
      <c r="K28" s="113"/>
      <c r="L28" s="113"/>
      <c r="M28" s="113"/>
      <c r="N28" s="113"/>
      <c r="O28" s="113"/>
      <c r="P28" s="113"/>
      <c r="Q28" s="113"/>
      <c r="R28" s="113"/>
      <c r="S28" s="113"/>
      <c r="T28" s="113"/>
      <c r="U28" s="113"/>
      <c r="V28" s="94"/>
    </row>
    <row r="29" spans="2:22" ht="15" customHeight="1" x14ac:dyDescent="0.15">
      <c r="B29" s="94"/>
      <c r="C29" s="249"/>
      <c r="D29" s="249"/>
      <c r="E29" s="249"/>
      <c r="F29" s="249"/>
      <c r="G29" s="94"/>
      <c r="I29" s="94"/>
      <c r="J29" s="114"/>
      <c r="K29" s="113"/>
      <c r="L29" s="113"/>
      <c r="M29" s="113"/>
      <c r="N29" s="113"/>
      <c r="O29" s="113"/>
      <c r="P29" s="113"/>
      <c r="Q29" s="113"/>
      <c r="R29" s="113"/>
      <c r="S29" s="113"/>
      <c r="T29" s="113"/>
      <c r="U29" s="113"/>
      <c r="V29" s="94"/>
    </row>
    <row r="30" spans="2:22" ht="15" customHeight="1" x14ac:dyDescent="0.15">
      <c r="B30" s="94"/>
      <c r="C30" s="249"/>
      <c r="D30" s="249"/>
      <c r="E30" s="249"/>
      <c r="F30" s="249"/>
      <c r="G30" s="94"/>
      <c r="I30" s="94"/>
      <c r="J30" s="114"/>
      <c r="K30" s="113"/>
      <c r="L30" s="113"/>
      <c r="M30" s="113"/>
      <c r="N30" s="113"/>
      <c r="O30" s="113"/>
      <c r="P30" s="113"/>
      <c r="Q30" s="113"/>
      <c r="R30" s="113"/>
      <c r="S30" s="113"/>
      <c r="T30" s="113"/>
      <c r="U30" s="113"/>
      <c r="V30" s="94"/>
    </row>
    <row r="31" spans="2:22" ht="15" customHeight="1" x14ac:dyDescent="0.15">
      <c r="B31" s="94"/>
      <c r="C31" s="249"/>
      <c r="D31" s="249"/>
      <c r="E31" s="249"/>
      <c r="F31" s="249"/>
      <c r="G31" s="94"/>
      <c r="I31" s="94"/>
      <c r="J31" s="114"/>
      <c r="K31" s="113"/>
      <c r="L31" s="113"/>
      <c r="M31" s="113"/>
      <c r="N31" s="113"/>
      <c r="O31" s="113"/>
      <c r="P31" s="113"/>
      <c r="Q31" s="113"/>
      <c r="R31" s="113"/>
      <c r="S31" s="113"/>
      <c r="T31" s="113"/>
      <c r="U31" s="113"/>
      <c r="V31" s="94"/>
    </row>
    <row r="32" spans="2:22" ht="15" customHeight="1" x14ac:dyDescent="0.15">
      <c r="B32" s="94"/>
      <c r="C32" s="249"/>
      <c r="D32" s="249"/>
      <c r="E32" s="249"/>
      <c r="F32" s="249"/>
      <c r="G32" s="94"/>
      <c r="I32" s="94"/>
      <c r="J32" s="114"/>
      <c r="K32" s="113"/>
      <c r="L32" s="113"/>
      <c r="M32" s="113"/>
      <c r="N32" s="113"/>
      <c r="O32" s="113"/>
      <c r="P32" s="113"/>
      <c r="Q32" s="113"/>
      <c r="R32" s="113"/>
      <c r="S32" s="113"/>
      <c r="T32" s="113"/>
      <c r="U32" s="113"/>
      <c r="V32" s="94"/>
    </row>
    <row r="33" spans="2:22" ht="15" customHeight="1" x14ac:dyDescent="0.15">
      <c r="B33" s="94"/>
      <c r="C33" s="249"/>
      <c r="D33" s="249"/>
      <c r="E33" s="249"/>
      <c r="F33" s="249"/>
      <c r="G33" s="94"/>
      <c r="I33" s="94"/>
      <c r="J33" s="114"/>
      <c r="K33" s="113"/>
      <c r="L33" s="113"/>
      <c r="M33" s="113"/>
      <c r="N33" s="113"/>
      <c r="O33" s="113"/>
      <c r="P33" s="113"/>
      <c r="Q33" s="113"/>
      <c r="R33" s="113"/>
      <c r="S33" s="113"/>
      <c r="T33" s="113"/>
      <c r="U33" s="113"/>
      <c r="V33" s="94"/>
    </row>
    <row r="34" spans="2:22" ht="15" customHeight="1" x14ac:dyDescent="0.15">
      <c r="B34" s="94"/>
      <c r="C34" s="249"/>
      <c r="D34" s="249"/>
      <c r="E34" s="249"/>
      <c r="F34" s="249"/>
      <c r="G34" s="94"/>
      <c r="I34" s="94"/>
      <c r="J34" s="114"/>
      <c r="K34" s="113"/>
      <c r="L34" s="113"/>
      <c r="M34" s="113"/>
      <c r="N34" s="113"/>
      <c r="O34" s="113"/>
      <c r="P34" s="113"/>
      <c r="Q34" s="113"/>
      <c r="R34" s="113"/>
      <c r="S34" s="113"/>
      <c r="T34" s="113"/>
      <c r="U34" s="113"/>
      <c r="V34" s="94"/>
    </row>
    <row r="35" spans="2:22" ht="15" customHeight="1" x14ac:dyDescent="0.15">
      <c r="B35" s="94"/>
      <c r="C35" s="249"/>
      <c r="D35" s="249"/>
      <c r="E35" s="249"/>
      <c r="F35" s="249"/>
      <c r="G35" s="94"/>
      <c r="I35" s="94"/>
      <c r="J35" s="114"/>
      <c r="K35" s="113"/>
      <c r="L35" s="113"/>
      <c r="M35" s="113"/>
      <c r="N35" s="113"/>
      <c r="O35" s="113"/>
      <c r="P35" s="113"/>
      <c r="Q35" s="113"/>
      <c r="R35" s="113"/>
      <c r="S35" s="113"/>
      <c r="T35" s="113"/>
      <c r="U35" s="113"/>
      <c r="V35" s="94"/>
    </row>
    <row r="36" spans="2:22" ht="15" customHeight="1" x14ac:dyDescent="0.15">
      <c r="B36" s="94"/>
      <c r="C36" s="249"/>
      <c r="D36" s="249"/>
      <c r="E36" s="249"/>
      <c r="F36" s="249"/>
      <c r="G36" s="94"/>
      <c r="I36" s="94"/>
      <c r="J36" s="114"/>
      <c r="K36" s="113"/>
      <c r="L36" s="113"/>
      <c r="M36" s="113"/>
      <c r="N36" s="113"/>
      <c r="O36" s="113"/>
      <c r="P36" s="113"/>
      <c r="Q36" s="113"/>
      <c r="R36" s="113"/>
      <c r="S36" s="113"/>
      <c r="T36" s="113"/>
      <c r="U36" s="113"/>
      <c r="V36" s="94"/>
    </row>
    <row r="37" spans="2:22" ht="15" customHeight="1" x14ac:dyDescent="0.15">
      <c r="B37" s="94"/>
      <c r="C37" s="249"/>
      <c r="D37" s="249"/>
      <c r="E37" s="249"/>
      <c r="F37" s="249"/>
      <c r="G37" s="94"/>
      <c r="I37" s="94"/>
      <c r="J37" s="114"/>
      <c r="K37" s="113"/>
      <c r="L37" s="113"/>
      <c r="M37" s="113"/>
      <c r="N37" s="113"/>
      <c r="O37" s="113"/>
      <c r="P37" s="113"/>
      <c r="Q37" s="113"/>
      <c r="R37" s="113"/>
      <c r="S37" s="113"/>
      <c r="T37" s="113"/>
      <c r="U37" s="113"/>
      <c r="V37" s="94"/>
    </row>
    <row r="38" spans="2:22" ht="15" customHeight="1" x14ac:dyDescent="0.15">
      <c r="B38" s="94"/>
      <c r="C38" s="249"/>
      <c r="D38" s="249"/>
      <c r="E38" s="249"/>
      <c r="F38" s="249"/>
      <c r="G38" s="94"/>
      <c r="I38" s="94"/>
      <c r="J38" s="114"/>
      <c r="K38" s="113"/>
      <c r="L38" s="113"/>
      <c r="M38" s="113"/>
      <c r="N38" s="113"/>
      <c r="O38" s="113"/>
      <c r="P38" s="113"/>
      <c r="Q38" s="113"/>
      <c r="R38" s="113"/>
      <c r="S38" s="113"/>
      <c r="T38" s="113"/>
      <c r="U38" s="113"/>
      <c r="V38" s="94"/>
    </row>
    <row r="39" spans="2:22" ht="15" customHeight="1" x14ac:dyDescent="0.15">
      <c r="B39" s="94"/>
      <c r="C39" s="249"/>
      <c r="D39" s="249"/>
      <c r="E39" s="249"/>
      <c r="F39" s="249"/>
      <c r="G39" s="94"/>
      <c r="I39" s="94"/>
      <c r="J39" s="114"/>
      <c r="K39" s="113"/>
      <c r="L39" s="113"/>
      <c r="M39" s="113"/>
      <c r="N39" s="113"/>
      <c r="O39" s="113"/>
      <c r="P39" s="113"/>
      <c r="Q39" s="113"/>
      <c r="R39" s="113"/>
      <c r="S39" s="113"/>
      <c r="T39" s="113"/>
      <c r="U39" s="113"/>
      <c r="V39" s="94"/>
    </row>
    <row r="40" spans="2:22" ht="15" customHeight="1" x14ac:dyDescent="0.15">
      <c r="B40" s="94"/>
      <c r="C40" s="249"/>
      <c r="D40" s="249"/>
      <c r="E40" s="249"/>
      <c r="F40" s="249"/>
      <c r="G40" s="94"/>
      <c r="I40" s="94"/>
      <c r="J40" s="114"/>
      <c r="K40" s="113"/>
      <c r="L40" s="113"/>
      <c r="M40" s="113"/>
      <c r="N40" s="113"/>
      <c r="O40" s="113"/>
      <c r="P40" s="113"/>
      <c r="Q40" s="113"/>
      <c r="R40" s="113"/>
      <c r="S40" s="113"/>
      <c r="T40" s="113"/>
      <c r="U40" s="113"/>
      <c r="V40" s="94"/>
    </row>
    <row r="41" spans="2:22" ht="15" customHeight="1" x14ac:dyDescent="0.15">
      <c r="B41" s="94"/>
      <c r="C41" s="249"/>
      <c r="D41" s="249"/>
      <c r="E41" s="249"/>
      <c r="F41" s="249"/>
      <c r="G41" s="94"/>
      <c r="I41" s="94"/>
      <c r="J41" s="114"/>
      <c r="K41" s="113"/>
      <c r="L41" s="113"/>
      <c r="M41" s="113"/>
      <c r="N41" s="113"/>
      <c r="O41" s="113"/>
      <c r="P41" s="113"/>
      <c r="Q41" s="113"/>
      <c r="R41" s="113"/>
      <c r="S41" s="113"/>
      <c r="T41" s="113"/>
      <c r="U41" s="113"/>
      <c r="V41" s="94"/>
    </row>
    <row r="42" spans="2:22" ht="15" customHeight="1" x14ac:dyDescent="0.15">
      <c r="B42" s="94"/>
      <c r="C42" s="249"/>
      <c r="D42" s="249"/>
      <c r="E42" s="249"/>
      <c r="F42" s="249"/>
      <c r="G42" s="94"/>
      <c r="I42" s="94"/>
      <c r="J42" s="114"/>
      <c r="K42" s="113"/>
      <c r="L42" s="113"/>
      <c r="M42" s="113"/>
      <c r="N42" s="113"/>
      <c r="O42" s="113"/>
      <c r="P42" s="113"/>
      <c r="Q42" s="113"/>
      <c r="R42" s="113"/>
      <c r="S42" s="113"/>
      <c r="T42" s="113"/>
      <c r="U42" s="113"/>
      <c r="V42" s="94"/>
    </row>
    <row r="43" spans="2:22" ht="15" customHeight="1" x14ac:dyDescent="0.15">
      <c r="B43" s="94"/>
      <c r="C43" s="249"/>
      <c r="D43" s="249"/>
      <c r="E43" s="249"/>
      <c r="F43" s="249"/>
      <c r="G43" s="94"/>
      <c r="I43" s="94"/>
      <c r="J43" s="114"/>
      <c r="K43" s="113"/>
      <c r="L43" s="113"/>
      <c r="M43" s="113"/>
      <c r="N43" s="113"/>
      <c r="O43" s="113"/>
      <c r="P43" s="113"/>
      <c r="Q43" s="113"/>
      <c r="R43" s="113"/>
      <c r="S43" s="113"/>
      <c r="T43" s="113"/>
      <c r="U43" s="113"/>
      <c r="V43" s="94"/>
    </row>
    <row r="44" spans="2:22" ht="15" customHeight="1" x14ac:dyDescent="0.15">
      <c r="B44" s="94"/>
      <c r="C44" s="249"/>
      <c r="D44" s="249"/>
      <c r="E44" s="249"/>
      <c r="F44" s="249"/>
      <c r="G44" s="94"/>
      <c r="I44" s="94"/>
      <c r="J44" s="114"/>
      <c r="K44" s="113"/>
      <c r="L44" s="113"/>
      <c r="M44" s="113"/>
      <c r="N44" s="113"/>
      <c r="O44" s="113"/>
      <c r="P44" s="113"/>
      <c r="Q44" s="113"/>
      <c r="R44" s="113"/>
      <c r="S44" s="113"/>
      <c r="T44" s="113"/>
      <c r="U44" s="113"/>
      <c r="V44" s="94"/>
    </row>
    <row r="45" spans="2:22" ht="15" customHeight="1" x14ac:dyDescent="0.15">
      <c r="B45" s="94"/>
      <c r="C45" s="249"/>
      <c r="D45" s="249"/>
      <c r="E45" s="249"/>
      <c r="F45" s="249"/>
      <c r="G45" s="94"/>
      <c r="I45" s="94"/>
      <c r="J45" s="114"/>
      <c r="K45" s="113"/>
      <c r="L45" s="113"/>
      <c r="M45" s="113"/>
      <c r="N45" s="113"/>
      <c r="O45" s="113"/>
      <c r="P45" s="113"/>
      <c r="Q45" s="113"/>
      <c r="R45" s="113"/>
      <c r="S45" s="113"/>
      <c r="T45" s="113"/>
      <c r="U45" s="113"/>
      <c r="V45" s="94"/>
    </row>
    <row r="46" spans="2:22" ht="15" customHeight="1" x14ac:dyDescent="0.15">
      <c r="B46" s="94"/>
      <c r="C46" s="249"/>
      <c r="D46" s="249"/>
      <c r="E46" s="249"/>
      <c r="F46" s="249"/>
      <c r="G46" s="94"/>
      <c r="I46" s="94"/>
      <c r="J46" s="114"/>
      <c r="K46" s="113"/>
      <c r="L46" s="113"/>
      <c r="M46" s="113"/>
      <c r="N46" s="113"/>
      <c r="O46" s="113"/>
      <c r="P46" s="113"/>
      <c r="Q46" s="113"/>
      <c r="R46" s="113"/>
      <c r="S46" s="113"/>
      <c r="T46" s="113"/>
      <c r="U46" s="113"/>
      <c r="V46" s="94"/>
    </row>
    <row r="47" spans="2:22" ht="15" customHeight="1" x14ac:dyDescent="0.15">
      <c r="B47" s="94"/>
      <c r="C47" s="249"/>
      <c r="D47" s="249"/>
      <c r="E47" s="249"/>
      <c r="F47" s="249"/>
      <c r="G47" s="94"/>
      <c r="I47" s="94"/>
      <c r="J47" s="114"/>
      <c r="K47" s="113"/>
      <c r="L47" s="113"/>
      <c r="M47" s="113"/>
      <c r="N47" s="113"/>
      <c r="O47" s="113"/>
      <c r="P47" s="113"/>
      <c r="Q47" s="113"/>
      <c r="R47" s="113"/>
      <c r="S47" s="113"/>
      <c r="T47" s="113"/>
      <c r="U47" s="113"/>
      <c r="V47" s="94"/>
    </row>
    <row r="48" spans="2:22" ht="15" customHeight="1" x14ac:dyDescent="0.15">
      <c r="B48" s="94"/>
      <c r="C48" s="249"/>
      <c r="D48" s="249"/>
      <c r="E48" s="249"/>
      <c r="F48" s="249"/>
      <c r="G48" s="94"/>
      <c r="I48" s="94"/>
      <c r="J48" s="114"/>
      <c r="K48" s="113"/>
      <c r="L48" s="113"/>
      <c r="M48" s="113"/>
      <c r="N48" s="113"/>
      <c r="O48" s="113"/>
      <c r="P48" s="113"/>
      <c r="Q48" s="113"/>
      <c r="R48" s="113"/>
      <c r="S48" s="113"/>
      <c r="T48" s="113"/>
      <c r="U48" s="113"/>
      <c r="V48" s="94"/>
    </row>
    <row r="49" spans="2:22" ht="15" customHeight="1" x14ac:dyDescent="0.15">
      <c r="B49" s="94"/>
      <c r="C49" s="249"/>
      <c r="D49" s="249"/>
      <c r="E49" s="249"/>
      <c r="F49" s="249"/>
      <c r="G49" s="94"/>
      <c r="I49" s="94"/>
      <c r="J49" s="114"/>
      <c r="K49" s="113"/>
      <c r="L49" s="113"/>
      <c r="M49" s="113"/>
      <c r="N49" s="113"/>
      <c r="O49" s="113"/>
      <c r="P49" s="113"/>
      <c r="Q49" s="113"/>
      <c r="R49" s="113"/>
      <c r="S49" s="113"/>
      <c r="T49" s="113"/>
      <c r="U49" s="113"/>
      <c r="V49" s="94"/>
    </row>
    <row r="50" spans="2:22" ht="15" customHeight="1" x14ac:dyDescent="0.15">
      <c r="B50" s="94"/>
      <c r="C50" s="241" t="s">
        <v>606</v>
      </c>
      <c r="D50" s="241" t="s">
        <v>279</v>
      </c>
      <c r="E50" s="241" t="s">
        <v>280</v>
      </c>
      <c r="F50" s="250" t="s">
        <v>608</v>
      </c>
      <c r="G50" s="94"/>
      <c r="I50" s="94"/>
      <c r="J50" s="114"/>
      <c r="K50" s="113"/>
      <c r="L50" s="113"/>
      <c r="M50" s="113"/>
      <c r="N50" s="113"/>
      <c r="O50" s="113"/>
      <c r="P50" s="113"/>
      <c r="Q50" s="113"/>
      <c r="R50" s="113"/>
      <c r="S50" s="113"/>
      <c r="T50" s="113"/>
      <c r="U50" s="113"/>
      <c r="V50" s="94"/>
    </row>
    <row r="51" spans="2:22" ht="15" customHeight="1" x14ac:dyDescent="0.15">
      <c r="B51" s="94"/>
      <c r="C51" s="241" t="s">
        <v>281</v>
      </c>
      <c r="D51" s="249"/>
      <c r="E51" s="249"/>
      <c r="F51" s="249" t="s">
        <v>609</v>
      </c>
      <c r="G51" s="94"/>
      <c r="I51" s="94"/>
      <c r="J51" s="114"/>
      <c r="K51" s="113"/>
      <c r="L51" s="113"/>
      <c r="M51" s="113"/>
      <c r="N51" s="113"/>
      <c r="O51" s="113"/>
      <c r="P51" s="113"/>
      <c r="Q51" s="113"/>
      <c r="R51" s="113"/>
      <c r="S51" s="113"/>
      <c r="T51" s="113"/>
      <c r="U51" s="113"/>
      <c r="V51" s="94"/>
    </row>
    <row r="52" spans="2:22" ht="15" customHeight="1" x14ac:dyDescent="0.15">
      <c r="B52" s="94"/>
      <c r="C52" s="241" t="s">
        <v>282</v>
      </c>
      <c r="D52" s="249"/>
      <c r="E52" s="249"/>
      <c r="F52" s="249" t="s">
        <v>609</v>
      </c>
      <c r="G52" s="94"/>
      <c r="I52" s="94"/>
      <c r="J52" s="114"/>
      <c r="K52" s="113"/>
      <c r="L52" s="113"/>
      <c r="M52" s="113"/>
      <c r="N52" s="113"/>
      <c r="O52" s="113"/>
      <c r="P52" s="113"/>
      <c r="Q52" s="113"/>
      <c r="R52" s="113"/>
      <c r="S52" s="113"/>
      <c r="T52" s="113"/>
      <c r="U52" s="113"/>
      <c r="V52" s="94"/>
    </row>
    <row r="53" spans="2:22" ht="15" customHeight="1" x14ac:dyDescent="0.15">
      <c r="B53" s="94"/>
      <c r="C53" s="241" t="s">
        <v>283</v>
      </c>
      <c r="D53" s="249"/>
      <c r="E53" s="249"/>
      <c r="F53" s="249"/>
      <c r="G53" s="94"/>
      <c r="I53" s="94"/>
      <c r="J53" s="114"/>
      <c r="K53" s="113"/>
      <c r="L53" s="113"/>
      <c r="M53" s="113"/>
      <c r="N53" s="113"/>
      <c r="O53" s="113"/>
      <c r="P53" s="113"/>
      <c r="Q53" s="113"/>
      <c r="R53" s="113"/>
      <c r="S53" s="113"/>
      <c r="T53" s="113"/>
      <c r="U53" s="113"/>
      <c r="V53" s="94"/>
    </row>
    <row r="54" spans="2:22" ht="15" customHeight="1" x14ac:dyDescent="0.15">
      <c r="B54" s="94"/>
      <c r="C54" s="241" t="s">
        <v>284</v>
      </c>
      <c r="D54" s="249"/>
      <c r="E54" s="249"/>
      <c r="F54" s="249" t="s">
        <v>609</v>
      </c>
      <c r="G54" s="94"/>
      <c r="I54" s="94"/>
      <c r="J54" s="114"/>
      <c r="K54" s="113"/>
      <c r="L54" s="113"/>
      <c r="M54" s="113"/>
      <c r="N54" s="113"/>
      <c r="O54" s="113"/>
      <c r="P54" s="113"/>
      <c r="Q54" s="113"/>
      <c r="R54" s="113"/>
      <c r="S54" s="113"/>
      <c r="T54" s="113"/>
      <c r="U54" s="113"/>
      <c r="V54" s="94"/>
    </row>
    <row r="55" spans="2:22" ht="15" customHeight="1" x14ac:dyDescent="0.15">
      <c r="B55" s="94"/>
      <c r="C55" s="241" t="s">
        <v>285</v>
      </c>
      <c r="D55" s="249"/>
      <c r="E55" s="249"/>
      <c r="F55" s="249" t="s">
        <v>609</v>
      </c>
      <c r="G55" s="94"/>
      <c r="I55" s="94"/>
      <c r="J55" s="114"/>
      <c r="K55" s="113"/>
      <c r="L55" s="113"/>
      <c r="M55" s="113"/>
      <c r="N55" s="113"/>
      <c r="O55" s="113"/>
      <c r="P55" s="113"/>
      <c r="Q55" s="113"/>
      <c r="R55" s="113"/>
      <c r="S55" s="113"/>
      <c r="T55" s="113"/>
      <c r="U55" s="113"/>
      <c r="V55" s="94"/>
    </row>
    <row r="56" spans="2:22" ht="15" customHeight="1" x14ac:dyDescent="0.15">
      <c r="B56" s="94"/>
      <c r="C56" s="241" t="s">
        <v>286</v>
      </c>
      <c r="D56" s="249"/>
      <c r="E56" s="249"/>
      <c r="F56" s="249" t="s">
        <v>609</v>
      </c>
      <c r="G56" s="94"/>
      <c r="I56" s="94"/>
      <c r="J56" s="114"/>
      <c r="K56" s="113"/>
      <c r="L56" s="113"/>
      <c r="M56" s="113"/>
      <c r="N56" s="113"/>
      <c r="O56" s="113"/>
      <c r="P56" s="113"/>
      <c r="Q56" s="113"/>
      <c r="R56" s="113"/>
      <c r="S56" s="113"/>
      <c r="T56" s="113"/>
      <c r="U56" s="113"/>
      <c r="V56" s="94"/>
    </row>
    <row r="57" spans="2:22" ht="15" customHeight="1" x14ac:dyDescent="0.15">
      <c r="B57" s="94"/>
      <c r="C57" s="241" t="s">
        <v>287</v>
      </c>
      <c r="D57" s="249"/>
      <c r="E57" s="249"/>
      <c r="F57" s="249" t="s">
        <v>609</v>
      </c>
      <c r="G57" s="94"/>
      <c r="I57" s="94"/>
      <c r="J57" s="114"/>
      <c r="K57" s="113"/>
      <c r="L57" s="113"/>
      <c r="M57" s="113"/>
      <c r="N57" s="113"/>
      <c r="O57" s="113"/>
      <c r="P57" s="113"/>
      <c r="Q57" s="113"/>
      <c r="R57" s="113"/>
      <c r="S57" s="113"/>
      <c r="T57" s="113"/>
      <c r="U57" s="113"/>
      <c r="V57" s="94"/>
    </row>
    <row r="58" spans="2:22" ht="15" customHeight="1" x14ac:dyDescent="0.15">
      <c r="B58" s="94"/>
      <c r="C58" s="241" t="s">
        <v>288</v>
      </c>
      <c r="D58" s="249"/>
      <c r="E58" s="249"/>
      <c r="F58" s="249"/>
      <c r="G58" s="94"/>
      <c r="I58" s="94"/>
      <c r="J58" s="114"/>
      <c r="K58" s="113"/>
      <c r="L58" s="113"/>
      <c r="M58" s="113"/>
      <c r="N58" s="113"/>
      <c r="O58" s="113"/>
      <c r="P58" s="113"/>
      <c r="Q58" s="113"/>
      <c r="R58" s="113"/>
      <c r="S58" s="113"/>
      <c r="T58" s="113"/>
      <c r="U58" s="113"/>
      <c r="V58" s="94"/>
    </row>
    <row r="59" spans="2:22" ht="15" customHeight="1" x14ac:dyDescent="0.15">
      <c r="B59" s="94"/>
      <c r="C59" s="241" t="s">
        <v>289</v>
      </c>
      <c r="D59" s="249"/>
      <c r="E59" s="249"/>
      <c r="F59" s="249"/>
      <c r="G59" s="94"/>
      <c r="I59" s="94"/>
      <c r="J59" s="114"/>
      <c r="K59" s="113"/>
      <c r="L59" s="113"/>
      <c r="M59" s="113"/>
      <c r="N59" s="113"/>
      <c r="O59" s="113"/>
      <c r="P59" s="113"/>
      <c r="Q59" s="113"/>
      <c r="R59" s="113"/>
      <c r="S59" s="113"/>
      <c r="T59" s="113"/>
      <c r="U59" s="113"/>
      <c r="V59" s="94"/>
    </row>
    <row r="60" spans="2:22" ht="15" customHeight="1" x14ac:dyDescent="0.15">
      <c r="B60" s="94"/>
      <c r="C60" s="241" t="s">
        <v>216</v>
      </c>
      <c r="D60" s="249"/>
      <c r="E60" s="249"/>
      <c r="F60" s="249" t="s">
        <v>609</v>
      </c>
      <c r="G60" s="94"/>
      <c r="I60" s="94"/>
      <c r="J60" s="114"/>
      <c r="K60" s="113"/>
      <c r="L60" s="113"/>
      <c r="M60" s="113"/>
      <c r="N60" s="113"/>
      <c r="O60" s="113"/>
      <c r="P60" s="113"/>
      <c r="Q60" s="113"/>
      <c r="R60" s="113"/>
      <c r="S60" s="113"/>
      <c r="T60" s="113"/>
      <c r="U60" s="113"/>
      <c r="V60" s="94"/>
    </row>
    <row r="61" spans="2:22" ht="15" customHeight="1" x14ac:dyDescent="0.15">
      <c r="B61" s="94"/>
      <c r="C61" s="328" t="s">
        <v>607</v>
      </c>
      <c r="D61" s="328"/>
      <c r="E61" s="328"/>
      <c r="F61" s="328"/>
      <c r="G61" s="94"/>
      <c r="I61" s="94"/>
      <c r="J61" s="94"/>
      <c r="K61" s="94" t="s">
        <v>294</v>
      </c>
      <c r="L61" s="94">
        <f>SUM(L5:L60)</f>
        <v>0</v>
      </c>
      <c r="M61" s="94">
        <f t="array" ref="M61">SUM(ABS(M5:M60))</f>
        <v>0</v>
      </c>
      <c r="N61" s="94">
        <f t="array" ref="N61">SUM(ABS(N5:N60))</f>
        <v>0</v>
      </c>
      <c r="O61" s="94"/>
      <c r="P61" s="94"/>
      <c r="Q61" s="94">
        <f>SUM(Q5:Q60)</f>
        <v>0</v>
      </c>
      <c r="R61" s="94">
        <f>SUM(R5:R60)</f>
        <v>0</v>
      </c>
      <c r="S61" s="94"/>
      <c r="T61" s="94"/>
      <c r="U61" s="94"/>
      <c r="V61" s="94"/>
    </row>
  </sheetData>
  <mergeCells count="7">
    <mergeCell ref="C61:F61"/>
    <mergeCell ref="Q2:R2"/>
    <mergeCell ref="C4:F4"/>
    <mergeCell ref="C7:F7"/>
    <mergeCell ref="C19:F19"/>
    <mergeCell ref="M2:N2"/>
    <mergeCell ref="D2:G2"/>
  </mergeCells>
  <phoneticPr fontId="3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Y99"/>
  <sheetViews>
    <sheetView workbookViewId="0">
      <pane ySplit="2" topLeftCell="A3" activePane="bottomLeft" state="frozen"/>
      <selection pane="bottomLeft" activeCell="I65" sqref="I65"/>
    </sheetView>
  </sheetViews>
  <sheetFormatPr defaultColWidth="9" defaultRowHeight="14.1" customHeight="1" x14ac:dyDescent="0.15"/>
  <cols>
    <col min="1" max="1" width="2.625" style="34" customWidth="1"/>
    <col min="2" max="2" width="30.625" style="56" customWidth="1"/>
    <col min="3" max="5" width="9" style="34"/>
    <col min="6" max="6" width="12.625" style="34" customWidth="1"/>
    <col min="7" max="7" width="2.625" style="34" customWidth="1"/>
    <col min="8" max="10" width="11.625" style="34" customWidth="1"/>
    <col min="11" max="11" width="2.625" style="34" customWidth="1"/>
    <col min="12" max="14" width="11.625" style="34" customWidth="1"/>
    <col min="15" max="15" width="2.625" style="34" customWidth="1"/>
    <col min="16" max="16" width="30.625" style="56" customWidth="1"/>
    <col min="17" max="19" width="9" style="34"/>
    <col min="20" max="20" width="12.625" style="34" customWidth="1"/>
    <col min="21" max="21" width="2.625" style="34" customWidth="1"/>
    <col min="22" max="23" width="9" style="34"/>
    <col min="24" max="25" width="9" style="34" hidden="1" customWidth="1"/>
    <col min="26" max="16384" width="9" style="34"/>
  </cols>
  <sheetData>
    <row r="1" spans="1:25" ht="14.1" customHeight="1" x14ac:dyDescent="0.15">
      <c r="A1" s="47"/>
      <c r="B1" s="51" t="s">
        <v>295</v>
      </c>
      <c r="C1" s="47"/>
      <c r="D1" s="47"/>
      <c r="E1" s="47"/>
      <c r="F1" s="47"/>
      <c r="G1" s="47"/>
      <c r="H1" s="334" t="s">
        <v>296</v>
      </c>
      <c r="I1" s="334"/>
      <c r="J1" s="334"/>
      <c r="K1" s="47"/>
      <c r="L1" s="334" t="s">
        <v>297</v>
      </c>
      <c r="M1" s="334"/>
      <c r="N1" s="334"/>
      <c r="O1" s="47"/>
      <c r="P1" s="52" t="s">
        <v>298</v>
      </c>
      <c r="Q1" s="49"/>
      <c r="R1" s="49"/>
      <c r="S1" s="49"/>
      <c r="T1" s="49"/>
      <c r="U1" s="47"/>
      <c r="W1" s="53"/>
      <c r="X1" s="185" t="str">
        <f>_xlfn.TEXTJOIN(":",TRUE,B2,C2,D2)</f>
        <v>物品名（可备注稀有度等信息）:个数:单价</v>
      </c>
      <c r="Y1" s="53" t="str">
        <f>_xlfn.TEXTJOIN("|",TRUE,X3:X98)</f>
        <v/>
      </c>
    </row>
    <row r="2" spans="1:25" ht="14.1" customHeight="1" x14ac:dyDescent="0.15">
      <c r="A2" s="47"/>
      <c r="B2" s="47" t="s">
        <v>299</v>
      </c>
      <c r="C2" s="47" t="s">
        <v>300</v>
      </c>
      <c r="D2" s="47" t="s">
        <v>301</v>
      </c>
      <c r="E2" s="47" t="s">
        <v>302</v>
      </c>
      <c r="F2" s="47" t="s">
        <v>294</v>
      </c>
      <c r="G2" s="47"/>
      <c r="H2" s="335" t="s">
        <v>303</v>
      </c>
      <c r="I2" s="335"/>
      <c r="J2" s="335"/>
      <c r="K2" s="47"/>
      <c r="L2" s="335" t="s">
        <v>304</v>
      </c>
      <c r="M2" s="335"/>
      <c r="N2" s="335"/>
      <c r="O2" s="47"/>
      <c r="P2" s="49" t="s">
        <v>305</v>
      </c>
      <c r="Q2" s="49" t="s">
        <v>300</v>
      </c>
      <c r="R2" s="49" t="s">
        <v>301</v>
      </c>
      <c r="S2" s="49" t="s">
        <v>302</v>
      </c>
      <c r="T2" s="49" t="s">
        <v>294</v>
      </c>
      <c r="U2" s="47"/>
      <c r="W2" s="53"/>
      <c r="X2" s="185"/>
      <c r="Y2" s="53" t="s">
        <v>306</v>
      </c>
    </row>
    <row r="3" spans="1:25" ht="14.1" customHeight="1" x14ac:dyDescent="0.15">
      <c r="A3" s="47"/>
      <c r="B3" s="55"/>
      <c r="C3" s="50"/>
      <c r="D3" s="50"/>
      <c r="E3" s="48">
        <f>C3*D3</f>
        <v>0</v>
      </c>
      <c r="F3" s="48">
        <f>SUM(E$1:E$98)</f>
        <v>0</v>
      </c>
      <c r="G3" s="47"/>
      <c r="H3" s="342" t="str">
        <f>Y1</f>
        <v/>
      </c>
      <c r="I3" s="342"/>
      <c r="J3" s="342"/>
      <c r="K3" s="47"/>
      <c r="L3" s="344"/>
      <c r="M3" s="345"/>
      <c r="N3" s="345"/>
      <c r="O3" s="47"/>
      <c r="P3" s="57" t="e" cm="1">
        <f t="array" ref="P3">_xlfn.TEXTSPLIT(L3,":","|",FALSE(),,)</f>
        <v>#VALUE!</v>
      </c>
      <c r="Q3" s="48"/>
      <c r="R3" s="48"/>
      <c r="S3" s="48">
        <f t="shared" ref="S3:S64" si="0">Q3*R3</f>
        <v>0</v>
      </c>
      <c r="T3" s="48">
        <f>SUM(S$1:S$98)</f>
        <v>0</v>
      </c>
      <c r="U3" s="47"/>
      <c r="W3" s="53"/>
      <c r="X3" s="185" t="str">
        <f>_xlfn.TEXTJOIN(":",TRUE,B3,C3,D3)</f>
        <v/>
      </c>
      <c r="Y3" s="53"/>
    </row>
    <row r="4" spans="1:25" ht="14.1" customHeight="1" x14ac:dyDescent="0.15">
      <c r="A4" s="47"/>
      <c r="B4" s="55"/>
      <c r="C4" s="50"/>
      <c r="D4" s="50"/>
      <c r="E4" s="48">
        <f t="shared" ref="E4:E35" si="1">C4*D4</f>
        <v>0</v>
      </c>
      <c r="F4" s="47"/>
      <c r="G4" s="47"/>
      <c r="H4" s="343"/>
      <c r="I4" s="343"/>
      <c r="J4" s="343"/>
      <c r="K4" s="47"/>
      <c r="L4" s="346"/>
      <c r="M4" s="346"/>
      <c r="N4" s="346"/>
      <c r="O4" s="47"/>
      <c r="P4" s="57"/>
      <c r="Q4" s="48"/>
      <c r="R4" s="48"/>
      <c r="S4" s="48">
        <f t="shared" si="0"/>
        <v>0</v>
      </c>
      <c r="T4" s="49"/>
      <c r="U4" s="47"/>
      <c r="W4" s="53"/>
      <c r="X4" s="185" t="str">
        <f t="shared" ref="X4:X65" si="2">_xlfn.TEXTJOIN(":",TRUE,B4,C4,D4)</f>
        <v/>
      </c>
      <c r="Y4" s="53"/>
    </row>
    <row r="5" spans="1:25" ht="14.1" customHeight="1" x14ac:dyDescent="0.15">
      <c r="A5" s="47"/>
      <c r="B5" s="55"/>
      <c r="C5" s="50"/>
      <c r="D5" s="50"/>
      <c r="E5" s="48">
        <f t="shared" si="1"/>
        <v>0</v>
      </c>
      <c r="F5" s="47"/>
      <c r="G5" s="47"/>
      <c r="H5" s="343"/>
      <c r="I5" s="343"/>
      <c r="J5" s="343"/>
      <c r="K5" s="47"/>
      <c r="L5" s="346"/>
      <c r="M5" s="346"/>
      <c r="N5" s="346"/>
      <c r="O5" s="47"/>
      <c r="P5" s="57"/>
      <c r="Q5" s="48"/>
      <c r="R5" s="48"/>
      <c r="S5" s="48">
        <f t="shared" si="0"/>
        <v>0</v>
      </c>
      <c r="T5" s="49"/>
      <c r="U5" s="47"/>
      <c r="W5" s="53"/>
      <c r="X5" s="185" t="str">
        <f t="shared" si="2"/>
        <v/>
      </c>
      <c r="Y5" s="53"/>
    </row>
    <row r="6" spans="1:25" ht="14.1" customHeight="1" x14ac:dyDescent="0.15">
      <c r="A6" s="47"/>
      <c r="B6" s="55"/>
      <c r="C6" s="50"/>
      <c r="D6" s="50"/>
      <c r="E6" s="48">
        <f t="shared" si="1"/>
        <v>0</v>
      </c>
      <c r="F6" s="47"/>
      <c r="G6" s="47"/>
      <c r="H6" s="343"/>
      <c r="I6" s="343"/>
      <c r="J6" s="343"/>
      <c r="K6" s="47"/>
      <c r="L6" s="346"/>
      <c r="M6" s="346"/>
      <c r="N6" s="346"/>
      <c r="O6" s="47"/>
      <c r="P6" s="57"/>
      <c r="Q6" s="48"/>
      <c r="R6" s="48"/>
      <c r="S6" s="48">
        <f t="shared" si="0"/>
        <v>0</v>
      </c>
      <c r="T6" s="49"/>
      <c r="U6" s="47"/>
      <c r="X6" s="185" t="str">
        <f t="shared" si="2"/>
        <v/>
      </c>
    </row>
    <row r="7" spans="1:25" ht="14.1" customHeight="1" x14ac:dyDescent="0.15">
      <c r="A7" s="47"/>
      <c r="B7" s="55"/>
      <c r="C7" s="50"/>
      <c r="D7" s="50"/>
      <c r="E7" s="48">
        <f t="shared" si="1"/>
        <v>0</v>
      </c>
      <c r="F7" s="47"/>
      <c r="G7" s="47"/>
      <c r="H7" s="343"/>
      <c r="I7" s="343"/>
      <c r="J7" s="343"/>
      <c r="K7" s="47"/>
      <c r="L7" s="346"/>
      <c r="M7" s="346"/>
      <c r="N7" s="346"/>
      <c r="O7" s="47"/>
      <c r="P7" s="57"/>
      <c r="Q7" s="48"/>
      <c r="R7" s="48"/>
      <c r="S7" s="48">
        <f t="shared" si="0"/>
        <v>0</v>
      </c>
      <c r="T7" s="49"/>
      <c r="U7" s="47"/>
      <c r="X7" s="185" t="str">
        <f t="shared" si="2"/>
        <v/>
      </c>
    </row>
    <row r="8" spans="1:25" ht="14.1" customHeight="1" x14ac:dyDescent="0.15">
      <c r="A8" s="47"/>
      <c r="B8" s="55"/>
      <c r="C8" s="50"/>
      <c r="D8" s="50"/>
      <c r="E8" s="48">
        <f t="shared" si="1"/>
        <v>0</v>
      </c>
      <c r="F8" s="47"/>
      <c r="G8" s="47"/>
      <c r="H8" s="343"/>
      <c r="I8" s="343"/>
      <c r="J8" s="343"/>
      <c r="K8" s="47"/>
      <c r="L8" s="346"/>
      <c r="M8" s="346"/>
      <c r="N8" s="346"/>
      <c r="O8" s="47"/>
      <c r="P8" s="57"/>
      <c r="Q8" s="48"/>
      <c r="R8" s="48"/>
      <c r="S8" s="48">
        <f t="shared" si="0"/>
        <v>0</v>
      </c>
      <c r="T8" s="49"/>
      <c r="U8" s="47"/>
      <c r="X8" s="185" t="str">
        <f t="shared" si="2"/>
        <v/>
      </c>
    </row>
    <row r="9" spans="1:25" ht="14.1" customHeight="1" x14ac:dyDescent="0.15">
      <c r="A9" s="47"/>
      <c r="B9" s="55"/>
      <c r="C9" s="50"/>
      <c r="D9" s="50"/>
      <c r="E9" s="48">
        <f t="shared" si="1"/>
        <v>0</v>
      </c>
      <c r="F9" s="47"/>
      <c r="G9" s="47"/>
      <c r="H9" s="343"/>
      <c r="I9" s="343"/>
      <c r="J9" s="343"/>
      <c r="K9" s="47"/>
      <c r="L9" s="346"/>
      <c r="M9" s="346"/>
      <c r="N9" s="346"/>
      <c r="O9" s="47"/>
      <c r="P9" s="57"/>
      <c r="Q9" s="48"/>
      <c r="R9" s="48"/>
      <c r="S9" s="48">
        <f t="shared" si="0"/>
        <v>0</v>
      </c>
      <c r="T9" s="49"/>
      <c r="U9" s="47"/>
      <c r="X9" s="185" t="str">
        <f t="shared" si="2"/>
        <v/>
      </c>
    </row>
    <row r="10" spans="1:25" ht="14.1" customHeight="1" x14ac:dyDescent="0.15">
      <c r="A10" s="47"/>
      <c r="B10" s="55"/>
      <c r="C10" s="50"/>
      <c r="D10" s="50"/>
      <c r="E10" s="48">
        <f t="shared" si="1"/>
        <v>0</v>
      </c>
      <c r="F10" s="47"/>
      <c r="G10" s="47"/>
      <c r="H10" s="343"/>
      <c r="I10" s="343"/>
      <c r="J10" s="343"/>
      <c r="K10" s="47"/>
      <c r="L10" s="346"/>
      <c r="M10" s="346"/>
      <c r="N10" s="346"/>
      <c r="O10" s="47"/>
      <c r="P10" s="57"/>
      <c r="Q10" s="48"/>
      <c r="R10" s="48"/>
      <c r="S10" s="48">
        <f t="shared" si="0"/>
        <v>0</v>
      </c>
      <c r="T10" s="49"/>
      <c r="U10" s="47"/>
      <c r="X10" s="185" t="str">
        <f t="shared" si="2"/>
        <v/>
      </c>
    </row>
    <row r="11" spans="1:25" ht="14.1" customHeight="1" x14ac:dyDescent="0.15">
      <c r="A11" s="47"/>
      <c r="B11" s="55"/>
      <c r="C11" s="50"/>
      <c r="D11" s="50"/>
      <c r="E11" s="48">
        <f t="shared" si="1"/>
        <v>0</v>
      </c>
      <c r="F11" s="47"/>
      <c r="G11" s="47"/>
      <c r="H11" s="343"/>
      <c r="I11" s="343"/>
      <c r="J11" s="343"/>
      <c r="K11" s="47"/>
      <c r="L11" s="346"/>
      <c r="M11" s="346"/>
      <c r="N11" s="346"/>
      <c r="O11" s="47"/>
      <c r="P11" s="57"/>
      <c r="Q11" s="48"/>
      <c r="R11" s="48"/>
      <c r="S11" s="48">
        <f t="shared" si="0"/>
        <v>0</v>
      </c>
      <c r="T11" s="49"/>
      <c r="U11" s="47"/>
      <c r="X11" s="185" t="str">
        <f t="shared" si="2"/>
        <v/>
      </c>
    </row>
    <row r="12" spans="1:25" ht="14.1" customHeight="1" x14ac:dyDescent="0.15">
      <c r="A12" s="47"/>
      <c r="B12" s="55"/>
      <c r="C12" s="50"/>
      <c r="D12" s="50"/>
      <c r="E12" s="48">
        <f t="shared" si="1"/>
        <v>0</v>
      </c>
      <c r="F12" s="47"/>
      <c r="G12" s="47"/>
      <c r="H12" s="343"/>
      <c r="I12" s="343"/>
      <c r="J12" s="343"/>
      <c r="K12" s="47"/>
      <c r="L12" s="346"/>
      <c r="M12" s="346"/>
      <c r="N12" s="346"/>
      <c r="O12" s="47"/>
      <c r="P12" s="57"/>
      <c r="Q12" s="48"/>
      <c r="R12" s="48"/>
      <c r="S12" s="48">
        <f t="shared" si="0"/>
        <v>0</v>
      </c>
      <c r="T12" s="49"/>
      <c r="U12" s="47"/>
      <c r="X12" s="185" t="str">
        <f t="shared" si="2"/>
        <v/>
      </c>
    </row>
    <row r="13" spans="1:25" ht="14.1" customHeight="1" x14ac:dyDescent="0.15">
      <c r="A13" s="47"/>
      <c r="B13" s="55"/>
      <c r="C13" s="50"/>
      <c r="D13" s="50"/>
      <c r="E13" s="48">
        <f t="shared" si="1"/>
        <v>0</v>
      </c>
      <c r="F13" s="47"/>
      <c r="G13" s="47"/>
      <c r="H13" s="343"/>
      <c r="I13" s="343"/>
      <c r="J13" s="343"/>
      <c r="K13" s="47"/>
      <c r="L13" s="346"/>
      <c r="M13" s="346"/>
      <c r="N13" s="346"/>
      <c r="O13" s="47"/>
      <c r="P13" s="57"/>
      <c r="Q13" s="48"/>
      <c r="R13" s="48"/>
      <c r="S13" s="48">
        <f t="shared" si="0"/>
        <v>0</v>
      </c>
      <c r="T13" s="49"/>
      <c r="U13" s="47"/>
      <c r="X13" s="185" t="str">
        <f t="shared" si="2"/>
        <v/>
      </c>
    </row>
    <row r="14" spans="1:25" ht="14.1" customHeight="1" x14ac:dyDescent="0.15">
      <c r="A14" s="47"/>
      <c r="B14" s="55"/>
      <c r="C14" s="50"/>
      <c r="D14" s="50"/>
      <c r="E14" s="48">
        <f t="shared" si="1"/>
        <v>0</v>
      </c>
      <c r="F14" s="47"/>
      <c r="G14" s="47"/>
      <c r="H14" s="343"/>
      <c r="I14" s="343"/>
      <c r="J14" s="343"/>
      <c r="K14" s="47"/>
      <c r="L14" s="346"/>
      <c r="M14" s="346"/>
      <c r="N14" s="346"/>
      <c r="O14" s="47"/>
      <c r="P14" s="57"/>
      <c r="Q14" s="48"/>
      <c r="R14" s="48"/>
      <c r="S14" s="48">
        <f t="shared" si="0"/>
        <v>0</v>
      </c>
      <c r="T14" s="49"/>
      <c r="U14" s="47"/>
      <c r="X14" s="185" t="str">
        <f t="shared" si="2"/>
        <v/>
      </c>
    </row>
    <row r="15" spans="1:25" ht="14.1" customHeight="1" x14ac:dyDescent="0.15">
      <c r="A15" s="47"/>
      <c r="B15" s="55"/>
      <c r="C15" s="50"/>
      <c r="D15" s="50"/>
      <c r="E15" s="48">
        <f t="shared" si="1"/>
        <v>0</v>
      </c>
      <c r="F15" s="47"/>
      <c r="G15" s="47"/>
      <c r="H15" s="343"/>
      <c r="I15" s="343"/>
      <c r="J15" s="343"/>
      <c r="K15" s="47"/>
      <c r="L15" s="346"/>
      <c r="M15" s="346"/>
      <c r="N15" s="346"/>
      <c r="O15" s="47"/>
      <c r="P15" s="57"/>
      <c r="Q15" s="48"/>
      <c r="R15" s="48"/>
      <c r="S15" s="48">
        <f t="shared" si="0"/>
        <v>0</v>
      </c>
      <c r="T15" s="49"/>
      <c r="U15" s="47"/>
      <c r="X15" s="185" t="str">
        <f t="shared" si="2"/>
        <v/>
      </c>
    </row>
    <row r="16" spans="1:25" ht="14.1" customHeight="1" x14ac:dyDescent="0.15">
      <c r="A16" s="47"/>
      <c r="B16" s="55"/>
      <c r="C16" s="50"/>
      <c r="D16" s="50"/>
      <c r="E16" s="48">
        <f t="shared" si="1"/>
        <v>0</v>
      </c>
      <c r="F16" s="47"/>
      <c r="G16" s="47"/>
      <c r="H16" s="343"/>
      <c r="I16" s="343"/>
      <c r="J16" s="343"/>
      <c r="K16" s="47"/>
      <c r="L16" s="346"/>
      <c r="M16" s="346"/>
      <c r="N16" s="346"/>
      <c r="O16" s="47"/>
      <c r="P16" s="57"/>
      <c r="Q16" s="48"/>
      <c r="R16" s="48"/>
      <c r="S16" s="48">
        <f t="shared" si="0"/>
        <v>0</v>
      </c>
      <c r="T16" s="49"/>
      <c r="U16" s="47"/>
      <c r="X16" s="185" t="str">
        <f t="shared" si="2"/>
        <v/>
      </c>
    </row>
    <row r="17" spans="1:24" ht="14.1" customHeight="1" x14ac:dyDescent="0.15">
      <c r="A17" s="47"/>
      <c r="B17" s="55"/>
      <c r="C17" s="50"/>
      <c r="D17" s="50"/>
      <c r="E17" s="48">
        <f t="shared" si="1"/>
        <v>0</v>
      </c>
      <c r="F17" s="47"/>
      <c r="G17" s="47"/>
      <c r="H17" s="343"/>
      <c r="I17" s="343"/>
      <c r="J17" s="343"/>
      <c r="K17" s="47"/>
      <c r="L17" s="346"/>
      <c r="M17" s="346"/>
      <c r="N17" s="346"/>
      <c r="O17" s="47"/>
      <c r="P17" s="57"/>
      <c r="Q17" s="48"/>
      <c r="R17" s="48"/>
      <c r="S17" s="48">
        <f t="shared" si="0"/>
        <v>0</v>
      </c>
      <c r="T17" s="49"/>
      <c r="U17" s="47"/>
      <c r="X17" s="185" t="str">
        <f t="shared" si="2"/>
        <v/>
      </c>
    </row>
    <row r="18" spans="1:24" ht="14.1" customHeight="1" x14ac:dyDescent="0.15">
      <c r="A18" s="47"/>
      <c r="B18" s="55"/>
      <c r="C18" s="50"/>
      <c r="D18" s="50"/>
      <c r="E18" s="48">
        <f t="shared" si="1"/>
        <v>0</v>
      </c>
      <c r="F18" s="47"/>
      <c r="G18" s="47"/>
      <c r="H18" s="343"/>
      <c r="I18" s="343"/>
      <c r="J18" s="343"/>
      <c r="K18" s="47"/>
      <c r="L18" s="346"/>
      <c r="M18" s="346"/>
      <c r="N18" s="346"/>
      <c r="O18" s="47"/>
      <c r="P18" s="57"/>
      <c r="Q18" s="48"/>
      <c r="R18" s="48"/>
      <c r="S18" s="48">
        <f t="shared" si="0"/>
        <v>0</v>
      </c>
      <c r="T18" s="49"/>
      <c r="U18" s="47"/>
      <c r="X18" s="185" t="str">
        <f t="shared" si="2"/>
        <v/>
      </c>
    </row>
    <row r="19" spans="1:24" ht="14.1" customHeight="1" x14ac:dyDescent="0.15">
      <c r="A19" s="47"/>
      <c r="B19" s="55"/>
      <c r="C19" s="50"/>
      <c r="D19" s="50"/>
      <c r="E19" s="48">
        <f t="shared" si="1"/>
        <v>0</v>
      </c>
      <c r="F19" s="47"/>
      <c r="G19" s="47"/>
      <c r="H19" s="343"/>
      <c r="I19" s="343"/>
      <c r="J19" s="343"/>
      <c r="K19" s="47"/>
      <c r="L19" s="346"/>
      <c r="M19" s="346"/>
      <c r="N19" s="346"/>
      <c r="O19" s="47"/>
      <c r="P19" s="57"/>
      <c r="Q19" s="48"/>
      <c r="R19" s="48"/>
      <c r="S19" s="48">
        <f t="shared" si="0"/>
        <v>0</v>
      </c>
      <c r="T19" s="49"/>
      <c r="U19" s="47"/>
      <c r="X19" s="185" t="str">
        <f t="shared" si="2"/>
        <v/>
      </c>
    </row>
    <row r="20" spans="1:24" ht="14.1" customHeight="1" x14ac:dyDescent="0.15">
      <c r="A20" s="47"/>
      <c r="B20" s="55"/>
      <c r="C20" s="50"/>
      <c r="D20" s="50"/>
      <c r="E20" s="48">
        <f t="shared" si="1"/>
        <v>0</v>
      </c>
      <c r="F20" s="47"/>
      <c r="G20" s="47"/>
      <c r="H20" s="343"/>
      <c r="I20" s="343"/>
      <c r="J20" s="343"/>
      <c r="K20" s="47"/>
      <c r="L20" s="346"/>
      <c r="M20" s="346"/>
      <c r="N20" s="346"/>
      <c r="O20" s="47"/>
      <c r="P20" s="57"/>
      <c r="Q20" s="48"/>
      <c r="R20" s="48"/>
      <c r="S20" s="48">
        <f t="shared" si="0"/>
        <v>0</v>
      </c>
      <c r="T20" s="49"/>
      <c r="U20" s="47"/>
      <c r="X20" s="185" t="str">
        <f t="shared" si="2"/>
        <v/>
      </c>
    </row>
    <row r="21" spans="1:24" ht="14.1" customHeight="1" x14ac:dyDescent="0.15">
      <c r="A21" s="47"/>
      <c r="B21" s="55"/>
      <c r="C21" s="50"/>
      <c r="D21" s="50"/>
      <c r="E21" s="48">
        <f t="shared" si="1"/>
        <v>0</v>
      </c>
      <c r="F21" s="47"/>
      <c r="G21" s="47"/>
      <c r="H21" s="343"/>
      <c r="I21" s="343"/>
      <c r="J21" s="343"/>
      <c r="K21" s="47"/>
      <c r="L21" s="346"/>
      <c r="M21" s="346"/>
      <c r="N21" s="346"/>
      <c r="O21" s="47"/>
      <c r="P21" s="57"/>
      <c r="Q21" s="48"/>
      <c r="R21" s="48"/>
      <c r="S21" s="48">
        <f t="shared" si="0"/>
        <v>0</v>
      </c>
      <c r="T21" s="49"/>
      <c r="U21" s="47"/>
      <c r="X21" s="185" t="str">
        <f t="shared" si="2"/>
        <v/>
      </c>
    </row>
    <row r="22" spans="1:24" ht="14.1" customHeight="1" x14ac:dyDescent="0.15">
      <c r="A22" s="47"/>
      <c r="B22" s="55"/>
      <c r="C22" s="50"/>
      <c r="D22" s="50"/>
      <c r="E22" s="48">
        <f t="shared" si="1"/>
        <v>0</v>
      </c>
      <c r="F22" s="47"/>
      <c r="G22" s="47"/>
      <c r="H22" s="343"/>
      <c r="I22" s="343"/>
      <c r="J22" s="343"/>
      <c r="K22" s="47"/>
      <c r="L22" s="346"/>
      <c r="M22" s="346"/>
      <c r="N22" s="346"/>
      <c r="O22" s="47"/>
      <c r="P22" s="57"/>
      <c r="Q22" s="48"/>
      <c r="R22" s="48"/>
      <c r="S22" s="48">
        <f t="shared" si="0"/>
        <v>0</v>
      </c>
      <c r="T22" s="49"/>
      <c r="U22" s="47"/>
      <c r="X22" s="185" t="str">
        <f t="shared" si="2"/>
        <v/>
      </c>
    </row>
    <row r="23" spans="1:24" ht="14.1" customHeight="1" x14ac:dyDescent="0.15">
      <c r="A23" s="47"/>
      <c r="B23" s="55"/>
      <c r="C23" s="50"/>
      <c r="D23" s="50"/>
      <c r="E23" s="48">
        <f t="shared" si="1"/>
        <v>0</v>
      </c>
      <c r="F23" s="47"/>
      <c r="G23" s="47"/>
      <c r="H23" s="343"/>
      <c r="I23" s="343"/>
      <c r="J23" s="343"/>
      <c r="K23" s="47"/>
      <c r="L23" s="346"/>
      <c r="M23" s="346"/>
      <c r="N23" s="346"/>
      <c r="O23" s="47"/>
      <c r="P23" s="57"/>
      <c r="Q23" s="48"/>
      <c r="R23" s="48"/>
      <c r="S23" s="48">
        <f t="shared" si="0"/>
        <v>0</v>
      </c>
      <c r="T23" s="49"/>
      <c r="U23" s="47"/>
      <c r="X23" s="185" t="str">
        <f t="shared" si="2"/>
        <v/>
      </c>
    </row>
    <row r="24" spans="1:24" ht="14.1" customHeight="1" x14ac:dyDescent="0.15">
      <c r="A24" s="47"/>
      <c r="B24" s="55"/>
      <c r="C24" s="50"/>
      <c r="D24" s="50"/>
      <c r="E24" s="48">
        <f t="shared" si="1"/>
        <v>0</v>
      </c>
      <c r="F24" s="47"/>
      <c r="G24" s="47"/>
      <c r="H24" s="343"/>
      <c r="I24" s="343"/>
      <c r="J24" s="343"/>
      <c r="K24" s="47"/>
      <c r="L24" s="346"/>
      <c r="M24" s="346"/>
      <c r="N24" s="346"/>
      <c r="O24" s="47"/>
      <c r="P24" s="57"/>
      <c r="Q24" s="48"/>
      <c r="R24" s="48"/>
      <c r="S24" s="48">
        <f t="shared" si="0"/>
        <v>0</v>
      </c>
      <c r="T24" s="49"/>
      <c r="U24" s="47"/>
      <c r="X24" s="185" t="str">
        <f t="shared" si="2"/>
        <v/>
      </c>
    </row>
    <row r="25" spans="1:24" ht="14.1" customHeight="1" x14ac:dyDescent="0.15">
      <c r="A25" s="47"/>
      <c r="B25" s="55"/>
      <c r="C25" s="50"/>
      <c r="D25" s="50"/>
      <c r="E25" s="48">
        <f t="shared" si="1"/>
        <v>0</v>
      </c>
      <c r="F25" s="47"/>
      <c r="G25" s="47"/>
      <c r="H25" s="343"/>
      <c r="I25" s="343"/>
      <c r="J25" s="343"/>
      <c r="K25" s="47"/>
      <c r="L25" s="346"/>
      <c r="M25" s="346"/>
      <c r="N25" s="346"/>
      <c r="O25" s="47"/>
      <c r="P25" s="57"/>
      <c r="Q25" s="48"/>
      <c r="R25" s="48"/>
      <c r="S25" s="48">
        <f t="shared" si="0"/>
        <v>0</v>
      </c>
      <c r="T25" s="49"/>
      <c r="U25" s="47"/>
      <c r="X25" s="185" t="str">
        <f t="shared" si="2"/>
        <v/>
      </c>
    </row>
    <row r="26" spans="1:24" ht="14.1" customHeight="1" x14ac:dyDescent="0.15">
      <c r="A26" s="47"/>
      <c r="B26" s="55"/>
      <c r="C26" s="50"/>
      <c r="D26" s="50"/>
      <c r="E26" s="48">
        <f t="shared" si="1"/>
        <v>0</v>
      </c>
      <c r="F26" s="47"/>
      <c r="G26" s="47"/>
      <c r="H26" s="343"/>
      <c r="I26" s="343"/>
      <c r="J26" s="343"/>
      <c r="K26" s="47"/>
      <c r="L26" s="346"/>
      <c r="M26" s="346"/>
      <c r="N26" s="346"/>
      <c r="O26" s="47"/>
      <c r="P26" s="57"/>
      <c r="Q26" s="48"/>
      <c r="R26" s="48"/>
      <c r="S26" s="48">
        <f t="shared" si="0"/>
        <v>0</v>
      </c>
      <c r="T26" s="49"/>
      <c r="U26" s="47"/>
      <c r="X26" s="185" t="str">
        <f t="shared" si="2"/>
        <v/>
      </c>
    </row>
    <row r="27" spans="1:24" ht="14.1" customHeight="1" x14ac:dyDescent="0.15">
      <c r="A27" s="47"/>
      <c r="B27" s="55"/>
      <c r="C27" s="50"/>
      <c r="D27" s="50"/>
      <c r="E27" s="48">
        <f t="shared" si="1"/>
        <v>0</v>
      </c>
      <c r="F27" s="47"/>
      <c r="G27" s="47"/>
      <c r="H27" s="343"/>
      <c r="I27" s="343"/>
      <c r="J27" s="343"/>
      <c r="K27" s="47"/>
      <c r="L27" s="346"/>
      <c r="M27" s="346"/>
      <c r="N27" s="346"/>
      <c r="O27" s="47"/>
      <c r="P27" s="57"/>
      <c r="Q27" s="48"/>
      <c r="R27" s="48"/>
      <c r="S27" s="48">
        <f t="shared" si="0"/>
        <v>0</v>
      </c>
      <c r="T27" s="49"/>
      <c r="U27" s="47"/>
      <c r="X27" s="185" t="str">
        <f t="shared" si="2"/>
        <v/>
      </c>
    </row>
    <row r="28" spans="1:24" ht="14.1" customHeight="1" x14ac:dyDescent="0.15">
      <c r="A28" s="47"/>
      <c r="B28" s="55"/>
      <c r="C28" s="50"/>
      <c r="D28" s="50"/>
      <c r="E28" s="48">
        <f t="shared" si="1"/>
        <v>0</v>
      </c>
      <c r="F28" s="47"/>
      <c r="G28" s="47"/>
      <c r="H28" s="343"/>
      <c r="I28" s="343"/>
      <c r="J28" s="343"/>
      <c r="K28" s="47"/>
      <c r="L28" s="346"/>
      <c r="M28" s="346"/>
      <c r="N28" s="346"/>
      <c r="O28" s="47"/>
      <c r="P28" s="57"/>
      <c r="Q28" s="48"/>
      <c r="R28" s="48"/>
      <c r="S28" s="48">
        <f t="shared" si="0"/>
        <v>0</v>
      </c>
      <c r="T28" s="49"/>
      <c r="U28" s="47"/>
      <c r="X28" s="185" t="str">
        <f t="shared" si="2"/>
        <v/>
      </c>
    </row>
    <row r="29" spans="1:24" ht="14.1" customHeight="1" x14ac:dyDescent="0.15">
      <c r="A29" s="47"/>
      <c r="B29" s="55"/>
      <c r="C29" s="50"/>
      <c r="D29" s="50"/>
      <c r="E29" s="48">
        <f t="shared" si="1"/>
        <v>0</v>
      </c>
      <c r="F29" s="47"/>
      <c r="G29" s="47"/>
      <c r="H29" s="343"/>
      <c r="I29" s="343"/>
      <c r="J29" s="343"/>
      <c r="K29" s="47"/>
      <c r="L29" s="346"/>
      <c r="M29" s="346"/>
      <c r="N29" s="346"/>
      <c r="O29" s="47"/>
      <c r="P29" s="57"/>
      <c r="Q29" s="48"/>
      <c r="R29" s="48"/>
      <c r="S29" s="48">
        <f t="shared" si="0"/>
        <v>0</v>
      </c>
      <c r="T29" s="49"/>
      <c r="U29" s="47"/>
      <c r="X29" s="185" t="str">
        <f t="shared" si="2"/>
        <v/>
      </c>
    </row>
    <row r="30" spans="1:24" ht="14.1" customHeight="1" x14ac:dyDescent="0.15">
      <c r="A30" s="47"/>
      <c r="B30" s="55"/>
      <c r="C30" s="50"/>
      <c r="D30" s="50"/>
      <c r="E30" s="48">
        <f t="shared" si="1"/>
        <v>0</v>
      </c>
      <c r="F30" s="47"/>
      <c r="G30" s="47"/>
      <c r="H30" s="343"/>
      <c r="I30" s="343"/>
      <c r="J30" s="343"/>
      <c r="K30" s="47"/>
      <c r="L30" s="346"/>
      <c r="M30" s="346"/>
      <c r="N30" s="346"/>
      <c r="O30" s="47"/>
      <c r="P30" s="57"/>
      <c r="Q30" s="48"/>
      <c r="R30" s="48"/>
      <c r="S30" s="48">
        <f t="shared" si="0"/>
        <v>0</v>
      </c>
      <c r="T30" s="49"/>
      <c r="U30" s="47"/>
      <c r="X30" s="185" t="str">
        <f t="shared" si="2"/>
        <v/>
      </c>
    </row>
    <row r="31" spans="1:24" ht="14.1" customHeight="1" x14ac:dyDescent="0.15">
      <c r="A31" s="47"/>
      <c r="B31" s="55"/>
      <c r="C31" s="50"/>
      <c r="D31" s="50"/>
      <c r="E31" s="48">
        <f t="shared" si="1"/>
        <v>0</v>
      </c>
      <c r="F31" s="47"/>
      <c r="G31" s="47"/>
      <c r="H31" s="343"/>
      <c r="I31" s="343"/>
      <c r="J31" s="343"/>
      <c r="K31" s="47"/>
      <c r="L31" s="346"/>
      <c r="M31" s="346"/>
      <c r="N31" s="346"/>
      <c r="O31" s="47"/>
      <c r="P31" s="57"/>
      <c r="Q31" s="48"/>
      <c r="R31" s="48"/>
      <c r="S31" s="48">
        <f t="shared" si="0"/>
        <v>0</v>
      </c>
      <c r="T31" s="49"/>
      <c r="U31" s="47"/>
      <c r="X31" s="185" t="str">
        <f t="shared" si="2"/>
        <v/>
      </c>
    </row>
    <row r="32" spans="1:24" ht="14.1" customHeight="1" x14ac:dyDescent="0.15">
      <c r="A32" s="47"/>
      <c r="B32" s="55"/>
      <c r="C32" s="50"/>
      <c r="D32" s="50"/>
      <c r="E32" s="48">
        <f t="shared" si="1"/>
        <v>0</v>
      </c>
      <c r="F32" s="47"/>
      <c r="G32" s="47"/>
      <c r="H32" s="343"/>
      <c r="I32" s="343"/>
      <c r="J32" s="343"/>
      <c r="K32" s="47"/>
      <c r="L32" s="346"/>
      <c r="M32" s="346"/>
      <c r="N32" s="346"/>
      <c r="O32" s="47"/>
      <c r="P32" s="57"/>
      <c r="Q32" s="48"/>
      <c r="R32" s="48"/>
      <c r="S32" s="48">
        <f t="shared" si="0"/>
        <v>0</v>
      </c>
      <c r="T32" s="49"/>
      <c r="U32" s="47"/>
      <c r="X32" s="185" t="str">
        <f t="shared" si="2"/>
        <v/>
      </c>
    </row>
    <row r="33" spans="1:24" ht="14.1" customHeight="1" x14ac:dyDescent="0.15">
      <c r="A33" s="47"/>
      <c r="B33" s="55"/>
      <c r="C33" s="50"/>
      <c r="D33" s="50"/>
      <c r="E33" s="48">
        <f t="shared" si="1"/>
        <v>0</v>
      </c>
      <c r="F33" s="47"/>
      <c r="G33" s="47"/>
      <c r="H33" s="343"/>
      <c r="I33" s="343"/>
      <c r="J33" s="343"/>
      <c r="K33" s="47"/>
      <c r="L33" s="346"/>
      <c r="M33" s="346"/>
      <c r="N33" s="346"/>
      <c r="O33" s="47"/>
      <c r="P33" s="57"/>
      <c r="Q33" s="48"/>
      <c r="R33" s="48"/>
      <c r="S33" s="48">
        <f t="shared" si="0"/>
        <v>0</v>
      </c>
      <c r="T33" s="49"/>
      <c r="U33" s="47"/>
      <c r="X33" s="185" t="str">
        <f t="shared" si="2"/>
        <v/>
      </c>
    </row>
    <row r="34" spans="1:24" ht="14.1" customHeight="1" x14ac:dyDescent="0.15">
      <c r="A34" s="47"/>
      <c r="B34" s="55"/>
      <c r="C34" s="50"/>
      <c r="D34" s="50"/>
      <c r="E34" s="48">
        <f t="shared" si="1"/>
        <v>0</v>
      </c>
      <c r="F34" s="47"/>
      <c r="G34" s="47"/>
      <c r="H34" s="343"/>
      <c r="I34" s="343"/>
      <c r="J34" s="343"/>
      <c r="K34" s="47"/>
      <c r="L34" s="346"/>
      <c r="M34" s="346"/>
      <c r="N34" s="346"/>
      <c r="O34" s="47"/>
      <c r="P34" s="57"/>
      <c r="Q34" s="48"/>
      <c r="R34" s="48"/>
      <c r="S34" s="48">
        <f t="shared" si="0"/>
        <v>0</v>
      </c>
      <c r="T34" s="49"/>
      <c r="U34" s="47"/>
      <c r="X34" s="185" t="str">
        <f t="shared" si="2"/>
        <v/>
      </c>
    </row>
    <row r="35" spans="1:24" ht="14.1" customHeight="1" x14ac:dyDescent="0.15">
      <c r="A35" s="47"/>
      <c r="B35" s="55"/>
      <c r="C35" s="50"/>
      <c r="D35" s="50"/>
      <c r="E35" s="48">
        <f t="shared" si="1"/>
        <v>0</v>
      </c>
      <c r="F35" s="47"/>
      <c r="G35" s="47"/>
      <c r="H35" s="343"/>
      <c r="I35" s="343"/>
      <c r="J35" s="343"/>
      <c r="K35" s="47"/>
      <c r="L35" s="346"/>
      <c r="M35" s="346"/>
      <c r="N35" s="346"/>
      <c r="O35" s="47"/>
      <c r="P35" s="57"/>
      <c r="Q35" s="48"/>
      <c r="R35" s="48"/>
      <c r="S35" s="48">
        <f t="shared" si="0"/>
        <v>0</v>
      </c>
      <c r="T35" s="49"/>
      <c r="U35" s="47"/>
      <c r="X35" s="185" t="str">
        <f t="shared" si="2"/>
        <v/>
      </c>
    </row>
    <row r="36" spans="1:24" ht="14.1" customHeight="1" x14ac:dyDescent="0.15">
      <c r="A36" s="47"/>
      <c r="B36" s="55"/>
      <c r="C36" s="50"/>
      <c r="D36" s="50"/>
      <c r="E36" s="48">
        <f t="shared" ref="E36:E65" si="3">C36*D36</f>
        <v>0</v>
      </c>
      <c r="F36" s="47"/>
      <c r="G36" s="47"/>
      <c r="H36" s="343"/>
      <c r="I36" s="343"/>
      <c r="J36" s="343"/>
      <c r="K36" s="47"/>
      <c r="L36" s="346"/>
      <c r="M36" s="346"/>
      <c r="N36" s="346"/>
      <c r="O36" s="47"/>
      <c r="P36" s="57"/>
      <c r="Q36" s="48"/>
      <c r="R36" s="48"/>
      <c r="S36" s="48">
        <f t="shared" si="0"/>
        <v>0</v>
      </c>
      <c r="T36" s="49"/>
      <c r="U36" s="47"/>
      <c r="X36" s="185" t="str">
        <f t="shared" si="2"/>
        <v/>
      </c>
    </row>
    <row r="37" spans="1:24" ht="14.1" customHeight="1" x14ac:dyDescent="0.15">
      <c r="A37" s="47"/>
      <c r="B37" s="55"/>
      <c r="C37" s="50"/>
      <c r="D37" s="50"/>
      <c r="E37" s="48">
        <f t="shared" si="3"/>
        <v>0</v>
      </c>
      <c r="F37" s="47"/>
      <c r="G37" s="47"/>
      <c r="H37" s="343"/>
      <c r="I37" s="343"/>
      <c r="J37" s="343"/>
      <c r="K37" s="47"/>
      <c r="L37" s="346"/>
      <c r="M37" s="346"/>
      <c r="N37" s="346"/>
      <c r="O37" s="47"/>
      <c r="P37" s="57"/>
      <c r="Q37" s="48"/>
      <c r="R37" s="48"/>
      <c r="S37" s="48">
        <f t="shared" si="0"/>
        <v>0</v>
      </c>
      <c r="T37" s="49"/>
      <c r="U37" s="47"/>
      <c r="X37" s="185" t="str">
        <f t="shared" si="2"/>
        <v/>
      </c>
    </row>
    <row r="38" spans="1:24" ht="14.1" customHeight="1" x14ac:dyDescent="0.15">
      <c r="A38" s="47"/>
      <c r="B38" s="55"/>
      <c r="C38" s="50"/>
      <c r="D38" s="50"/>
      <c r="E38" s="48">
        <f t="shared" si="3"/>
        <v>0</v>
      </c>
      <c r="F38" s="47"/>
      <c r="G38" s="47"/>
      <c r="H38" s="343"/>
      <c r="I38" s="343"/>
      <c r="J38" s="343"/>
      <c r="K38" s="47"/>
      <c r="L38" s="346"/>
      <c r="M38" s="346"/>
      <c r="N38" s="346"/>
      <c r="O38" s="47"/>
      <c r="P38" s="57"/>
      <c r="Q38" s="48"/>
      <c r="R38" s="48"/>
      <c r="S38" s="48">
        <f t="shared" si="0"/>
        <v>0</v>
      </c>
      <c r="T38" s="49"/>
      <c r="U38" s="47"/>
      <c r="X38" s="185" t="str">
        <f t="shared" si="2"/>
        <v/>
      </c>
    </row>
    <row r="39" spans="1:24" ht="14.1" customHeight="1" x14ac:dyDescent="0.15">
      <c r="A39" s="47"/>
      <c r="B39" s="55"/>
      <c r="C39" s="50"/>
      <c r="D39" s="50"/>
      <c r="E39" s="48">
        <f t="shared" si="3"/>
        <v>0</v>
      </c>
      <c r="F39" s="47"/>
      <c r="G39" s="47"/>
      <c r="H39" s="343"/>
      <c r="I39" s="343"/>
      <c r="J39" s="343"/>
      <c r="K39" s="47"/>
      <c r="L39" s="346"/>
      <c r="M39" s="346"/>
      <c r="N39" s="346"/>
      <c r="O39" s="47"/>
      <c r="P39" s="57"/>
      <c r="Q39" s="48"/>
      <c r="R39" s="48"/>
      <c r="S39" s="48">
        <f t="shared" si="0"/>
        <v>0</v>
      </c>
      <c r="T39" s="49"/>
      <c r="U39" s="47"/>
      <c r="X39" s="185" t="str">
        <f t="shared" si="2"/>
        <v/>
      </c>
    </row>
    <row r="40" spans="1:24" ht="14.1" customHeight="1" x14ac:dyDescent="0.15">
      <c r="A40" s="47"/>
      <c r="B40" s="55"/>
      <c r="C40" s="50"/>
      <c r="D40" s="50"/>
      <c r="E40" s="48">
        <f t="shared" si="3"/>
        <v>0</v>
      </c>
      <c r="F40" s="47"/>
      <c r="G40" s="47"/>
      <c r="H40" s="343"/>
      <c r="I40" s="343"/>
      <c r="J40" s="343"/>
      <c r="K40" s="47"/>
      <c r="L40" s="346"/>
      <c r="M40" s="346"/>
      <c r="N40" s="346"/>
      <c r="O40" s="47"/>
      <c r="P40" s="57"/>
      <c r="Q40" s="48"/>
      <c r="R40" s="48"/>
      <c r="S40" s="48">
        <f t="shared" si="0"/>
        <v>0</v>
      </c>
      <c r="T40" s="49"/>
      <c r="U40" s="47"/>
      <c r="X40" s="185" t="str">
        <f t="shared" si="2"/>
        <v/>
      </c>
    </row>
    <row r="41" spans="1:24" ht="14.1" customHeight="1" x14ac:dyDescent="0.15">
      <c r="A41" s="47"/>
      <c r="B41" s="55"/>
      <c r="C41" s="50"/>
      <c r="D41" s="50"/>
      <c r="E41" s="48">
        <f t="shared" si="3"/>
        <v>0</v>
      </c>
      <c r="F41" s="47"/>
      <c r="G41" s="47"/>
      <c r="H41" s="343"/>
      <c r="I41" s="343"/>
      <c r="J41" s="343"/>
      <c r="K41" s="47"/>
      <c r="L41" s="346"/>
      <c r="M41" s="346"/>
      <c r="N41" s="346"/>
      <c r="O41" s="47"/>
      <c r="P41" s="57"/>
      <c r="Q41" s="48"/>
      <c r="R41" s="48"/>
      <c r="S41" s="48">
        <f t="shared" si="0"/>
        <v>0</v>
      </c>
      <c r="T41" s="49"/>
      <c r="U41" s="47"/>
      <c r="X41" s="185" t="str">
        <f t="shared" si="2"/>
        <v/>
      </c>
    </row>
    <row r="42" spans="1:24" ht="14.1" customHeight="1" x14ac:dyDescent="0.15">
      <c r="A42" s="47"/>
      <c r="B42" s="55"/>
      <c r="C42" s="50"/>
      <c r="D42" s="50"/>
      <c r="E42" s="48">
        <f t="shared" si="3"/>
        <v>0</v>
      </c>
      <c r="F42" s="47"/>
      <c r="G42" s="47"/>
      <c r="H42" s="343"/>
      <c r="I42" s="343"/>
      <c r="J42" s="343"/>
      <c r="K42" s="47"/>
      <c r="L42" s="346"/>
      <c r="M42" s="346"/>
      <c r="N42" s="346"/>
      <c r="O42" s="47"/>
      <c r="P42" s="57"/>
      <c r="Q42" s="48"/>
      <c r="R42" s="48"/>
      <c r="S42" s="48">
        <f t="shared" si="0"/>
        <v>0</v>
      </c>
      <c r="T42" s="49"/>
      <c r="U42" s="47"/>
      <c r="X42" s="185" t="str">
        <f t="shared" si="2"/>
        <v/>
      </c>
    </row>
    <row r="43" spans="1:24" ht="14.1" customHeight="1" x14ac:dyDescent="0.15">
      <c r="A43" s="47"/>
      <c r="B43" s="55"/>
      <c r="C43" s="50"/>
      <c r="D43" s="50"/>
      <c r="E43" s="48">
        <f t="shared" si="3"/>
        <v>0</v>
      </c>
      <c r="F43" s="47"/>
      <c r="G43" s="47"/>
      <c r="H43" s="343"/>
      <c r="I43" s="343"/>
      <c r="J43" s="343"/>
      <c r="K43" s="47"/>
      <c r="L43" s="346"/>
      <c r="M43" s="346"/>
      <c r="N43" s="346"/>
      <c r="O43" s="47"/>
      <c r="P43" s="57"/>
      <c r="Q43" s="48"/>
      <c r="R43" s="48"/>
      <c r="S43" s="48">
        <f t="shared" si="0"/>
        <v>0</v>
      </c>
      <c r="T43" s="49"/>
      <c r="U43" s="47"/>
      <c r="X43" s="185" t="str">
        <f t="shared" si="2"/>
        <v/>
      </c>
    </row>
    <row r="44" spans="1:24" ht="14.1" customHeight="1" x14ac:dyDescent="0.15">
      <c r="A44" s="47"/>
      <c r="B44" s="55"/>
      <c r="C44" s="50"/>
      <c r="D44" s="50"/>
      <c r="E44" s="48">
        <f t="shared" si="3"/>
        <v>0</v>
      </c>
      <c r="F44" s="47"/>
      <c r="G44" s="47"/>
      <c r="H44" s="343"/>
      <c r="I44" s="343"/>
      <c r="J44" s="343"/>
      <c r="K44" s="47"/>
      <c r="L44" s="346"/>
      <c r="M44" s="346"/>
      <c r="N44" s="346"/>
      <c r="O44" s="47"/>
      <c r="P44" s="57"/>
      <c r="Q44" s="48"/>
      <c r="R44" s="48"/>
      <c r="S44" s="48">
        <f t="shared" si="0"/>
        <v>0</v>
      </c>
      <c r="T44" s="49"/>
      <c r="U44" s="47"/>
      <c r="X44" s="185" t="str">
        <f t="shared" si="2"/>
        <v/>
      </c>
    </row>
    <row r="45" spans="1:24" ht="14.1" customHeight="1" x14ac:dyDescent="0.15">
      <c r="A45" s="47"/>
      <c r="B45" s="55"/>
      <c r="C45" s="50"/>
      <c r="D45" s="50"/>
      <c r="E45" s="48">
        <f t="shared" si="3"/>
        <v>0</v>
      </c>
      <c r="F45" s="47"/>
      <c r="G45" s="47"/>
      <c r="H45" s="343"/>
      <c r="I45" s="343"/>
      <c r="J45" s="343"/>
      <c r="K45" s="47"/>
      <c r="L45" s="346"/>
      <c r="M45" s="346"/>
      <c r="N45" s="346"/>
      <c r="O45" s="47"/>
      <c r="P45" s="57"/>
      <c r="Q45" s="48"/>
      <c r="R45" s="48"/>
      <c r="S45" s="48">
        <f t="shared" si="0"/>
        <v>0</v>
      </c>
      <c r="T45" s="49"/>
      <c r="U45" s="47"/>
      <c r="X45" s="185" t="str">
        <f t="shared" si="2"/>
        <v/>
      </c>
    </row>
    <row r="46" spans="1:24" ht="14.1" customHeight="1" x14ac:dyDescent="0.15">
      <c r="A46" s="47"/>
      <c r="B46" s="55"/>
      <c r="C46" s="50"/>
      <c r="D46" s="50"/>
      <c r="E46" s="48">
        <f t="shared" si="3"/>
        <v>0</v>
      </c>
      <c r="F46" s="47"/>
      <c r="G46" s="47"/>
      <c r="H46" s="336" t="s">
        <v>307</v>
      </c>
      <c r="I46" s="337"/>
      <c r="J46" s="337"/>
      <c r="K46" s="47"/>
      <c r="L46" s="337" t="s">
        <v>308</v>
      </c>
      <c r="M46" s="337"/>
      <c r="N46" s="340"/>
      <c r="O46" s="47"/>
      <c r="P46" s="57"/>
      <c r="Q46" s="48"/>
      <c r="R46" s="48"/>
      <c r="S46" s="48">
        <f t="shared" si="0"/>
        <v>0</v>
      </c>
      <c r="T46" s="49"/>
      <c r="U46" s="47"/>
      <c r="X46" s="185" t="str">
        <f t="shared" si="2"/>
        <v/>
      </c>
    </row>
    <row r="47" spans="1:24" ht="14.1" customHeight="1" x14ac:dyDescent="0.15">
      <c r="A47" s="47"/>
      <c r="B47" s="55"/>
      <c r="C47" s="50"/>
      <c r="D47" s="50"/>
      <c r="E47" s="48">
        <f t="shared" si="3"/>
        <v>0</v>
      </c>
      <c r="F47" s="47"/>
      <c r="G47" s="47"/>
      <c r="H47" s="338"/>
      <c r="I47" s="339"/>
      <c r="J47" s="339"/>
      <c r="K47" s="47"/>
      <c r="L47" s="339"/>
      <c r="M47" s="339"/>
      <c r="N47" s="341"/>
      <c r="O47" s="47"/>
      <c r="P47" s="57"/>
      <c r="Q47" s="48"/>
      <c r="R47" s="48"/>
      <c r="S47" s="48">
        <f t="shared" si="0"/>
        <v>0</v>
      </c>
      <c r="T47" s="49"/>
      <c r="U47" s="47"/>
      <c r="X47" s="185" t="str">
        <f t="shared" si="2"/>
        <v/>
      </c>
    </row>
    <row r="48" spans="1:24" ht="14.1" customHeight="1" x14ac:dyDescent="0.15">
      <c r="A48" s="47"/>
      <c r="B48" s="55"/>
      <c r="C48" s="50"/>
      <c r="D48" s="50"/>
      <c r="E48" s="48">
        <f t="shared" si="3"/>
        <v>0</v>
      </c>
      <c r="F48" s="47"/>
      <c r="G48" s="47"/>
      <c r="H48" s="47"/>
      <c r="I48" s="47"/>
      <c r="J48" s="47"/>
      <c r="K48" s="47"/>
      <c r="L48" s="47"/>
      <c r="M48" s="47"/>
      <c r="N48" s="47"/>
      <c r="O48" s="47"/>
      <c r="P48" s="57"/>
      <c r="Q48" s="48"/>
      <c r="R48" s="48"/>
      <c r="S48" s="48">
        <f t="shared" si="0"/>
        <v>0</v>
      </c>
      <c r="T48" s="49"/>
      <c r="U48" s="47"/>
      <c r="X48" s="185" t="str">
        <f t="shared" si="2"/>
        <v/>
      </c>
    </row>
    <row r="49" spans="1:24" ht="14.1" customHeight="1" x14ac:dyDescent="0.15">
      <c r="A49" s="47"/>
      <c r="B49" s="55"/>
      <c r="C49" s="50"/>
      <c r="D49" s="50"/>
      <c r="E49" s="48">
        <f t="shared" si="3"/>
        <v>0</v>
      </c>
      <c r="F49" s="47"/>
      <c r="G49" s="47"/>
      <c r="H49" s="332" t="s">
        <v>172</v>
      </c>
      <c r="I49" s="332"/>
      <c r="J49" s="332"/>
      <c r="K49" s="47"/>
      <c r="L49" s="332" t="s">
        <v>190</v>
      </c>
      <c r="M49" s="332"/>
      <c r="N49" s="332"/>
      <c r="O49" s="47"/>
      <c r="P49" s="57"/>
      <c r="Q49" s="48"/>
      <c r="R49" s="48"/>
      <c r="S49" s="48">
        <f t="shared" si="0"/>
        <v>0</v>
      </c>
      <c r="T49" s="49"/>
      <c r="U49" s="47"/>
      <c r="X49" s="185" t="str">
        <f t="shared" si="2"/>
        <v/>
      </c>
    </row>
    <row r="50" spans="1:24" ht="14.1" customHeight="1" x14ac:dyDescent="0.15">
      <c r="A50" s="47"/>
      <c r="B50" s="55"/>
      <c r="C50" s="50"/>
      <c r="D50" s="50"/>
      <c r="E50" s="48">
        <f t="shared" si="3"/>
        <v>0</v>
      </c>
      <c r="F50" s="47"/>
      <c r="G50" s="47"/>
      <c r="H50" s="137"/>
      <c r="I50" s="137" t="s">
        <v>173</v>
      </c>
      <c r="J50" s="137"/>
      <c r="K50" s="47"/>
      <c r="L50" s="137"/>
      <c r="M50" s="137"/>
      <c r="N50" s="137"/>
      <c r="O50" s="137"/>
      <c r="P50" s="57"/>
      <c r="Q50" s="48"/>
      <c r="R50" s="48"/>
      <c r="S50" s="48">
        <f t="shared" si="0"/>
        <v>0</v>
      </c>
      <c r="T50" s="49"/>
      <c r="U50" s="47"/>
      <c r="X50" s="185" t="str">
        <f t="shared" si="2"/>
        <v/>
      </c>
    </row>
    <row r="51" spans="1:24" ht="14.1" customHeight="1" x14ac:dyDescent="0.15">
      <c r="A51" s="47"/>
      <c r="B51" s="55"/>
      <c r="C51" s="50"/>
      <c r="D51" s="50"/>
      <c r="E51" s="48">
        <f t="shared" si="3"/>
        <v>0</v>
      </c>
      <c r="F51" s="47"/>
      <c r="G51" s="47"/>
      <c r="H51" s="329" t="s">
        <v>175</v>
      </c>
      <c r="I51" s="130" t="s">
        <v>176</v>
      </c>
      <c r="J51" s="131"/>
      <c r="K51" s="47"/>
      <c r="L51" s="347" t="s">
        <v>191</v>
      </c>
      <c r="M51" s="348"/>
      <c r="N51" s="134" t="s">
        <v>192</v>
      </c>
      <c r="O51" s="137"/>
      <c r="P51" s="57"/>
      <c r="Q51" s="48"/>
      <c r="R51" s="48"/>
      <c r="S51" s="48">
        <f t="shared" si="0"/>
        <v>0</v>
      </c>
      <c r="T51" s="49"/>
      <c r="U51" s="47"/>
      <c r="X51" s="185" t="str">
        <f t="shared" si="2"/>
        <v/>
      </c>
    </row>
    <row r="52" spans="1:24" ht="14.1" customHeight="1" x14ac:dyDescent="0.15">
      <c r="A52" s="47"/>
      <c r="B52" s="55"/>
      <c r="C52" s="50"/>
      <c r="D52" s="50"/>
      <c r="E52" s="48">
        <f t="shared" si="3"/>
        <v>0</v>
      </c>
      <c r="F52" s="47"/>
      <c r="G52" s="47"/>
      <c r="H52" s="330"/>
      <c r="I52" s="130" t="s">
        <v>148</v>
      </c>
      <c r="J52" s="131"/>
      <c r="K52" s="47"/>
      <c r="L52" s="349"/>
      <c r="M52" s="349"/>
      <c r="N52" s="132"/>
      <c r="O52" s="137"/>
      <c r="P52" s="57"/>
      <c r="Q52" s="48"/>
      <c r="R52" s="48"/>
      <c r="S52" s="48">
        <f t="shared" si="0"/>
        <v>0</v>
      </c>
      <c r="T52" s="49"/>
      <c r="U52" s="47"/>
      <c r="X52" s="185" t="str">
        <f t="shared" si="2"/>
        <v/>
      </c>
    </row>
    <row r="53" spans="1:24" ht="14.1" customHeight="1" x14ac:dyDescent="0.15">
      <c r="A53" s="47"/>
      <c r="B53" s="55"/>
      <c r="C53" s="50"/>
      <c r="D53" s="50"/>
      <c r="E53" s="48">
        <f t="shared" si="3"/>
        <v>0</v>
      </c>
      <c r="F53" s="47"/>
      <c r="G53" s="47"/>
      <c r="H53" s="331" t="s">
        <v>183</v>
      </c>
      <c r="I53" s="130" t="s">
        <v>184</v>
      </c>
      <c r="J53" s="131"/>
      <c r="K53" s="47"/>
      <c r="L53" s="347" t="s">
        <v>193</v>
      </c>
      <c r="M53" s="348"/>
      <c r="N53" s="134" t="s">
        <v>192</v>
      </c>
      <c r="O53" s="137"/>
      <c r="P53" s="57"/>
      <c r="Q53" s="48"/>
      <c r="R53" s="48"/>
      <c r="S53" s="48">
        <f t="shared" si="0"/>
        <v>0</v>
      </c>
      <c r="T53" s="49"/>
      <c r="U53" s="47"/>
      <c r="X53" s="185" t="str">
        <f t="shared" si="2"/>
        <v/>
      </c>
    </row>
    <row r="54" spans="1:24" ht="14.1" customHeight="1" x14ac:dyDescent="0.15">
      <c r="A54" s="47"/>
      <c r="B54" s="55"/>
      <c r="C54" s="50"/>
      <c r="D54" s="50"/>
      <c r="E54" s="48">
        <f t="shared" si="3"/>
        <v>0</v>
      </c>
      <c r="F54" s="47"/>
      <c r="G54" s="47"/>
      <c r="H54" s="331"/>
      <c r="I54" s="130" t="s">
        <v>185</v>
      </c>
      <c r="J54" s="131"/>
      <c r="K54" s="47"/>
      <c r="L54" s="349"/>
      <c r="M54" s="349"/>
      <c r="N54" s="132"/>
      <c r="O54" s="137"/>
      <c r="P54" s="57"/>
      <c r="Q54" s="48"/>
      <c r="R54" s="48"/>
      <c r="S54" s="48">
        <f t="shared" si="0"/>
        <v>0</v>
      </c>
      <c r="T54" s="49"/>
      <c r="U54" s="47"/>
      <c r="X54" s="185" t="str">
        <f t="shared" si="2"/>
        <v/>
      </c>
    </row>
    <row r="55" spans="1:24" ht="14.1" customHeight="1" x14ac:dyDescent="0.15">
      <c r="A55" s="47"/>
      <c r="B55" s="55"/>
      <c r="C55" s="50"/>
      <c r="D55" s="50"/>
      <c r="E55" s="48">
        <f t="shared" si="3"/>
        <v>0</v>
      </c>
      <c r="F55" s="47"/>
      <c r="G55" s="47"/>
      <c r="H55" s="331"/>
      <c r="I55" s="130" t="s">
        <v>186</v>
      </c>
      <c r="J55" s="127">
        <f>往来记录!M61</f>
        <v>0</v>
      </c>
      <c r="K55" s="47"/>
      <c r="L55" s="347" t="s">
        <v>194</v>
      </c>
      <c r="M55" s="348"/>
      <c r="N55" s="134" t="s">
        <v>192</v>
      </c>
      <c r="O55" s="137"/>
      <c r="P55" s="57"/>
      <c r="Q55" s="48"/>
      <c r="R55" s="48"/>
      <c r="S55" s="48">
        <f t="shared" si="0"/>
        <v>0</v>
      </c>
      <c r="T55" s="49"/>
      <c r="U55" s="47"/>
      <c r="X55" s="185" t="str">
        <f t="shared" si="2"/>
        <v/>
      </c>
    </row>
    <row r="56" spans="1:24" ht="14.1" customHeight="1" x14ac:dyDescent="0.15">
      <c r="A56" s="47"/>
      <c r="B56" s="55"/>
      <c r="C56" s="50"/>
      <c r="D56" s="50"/>
      <c r="E56" s="48">
        <f t="shared" si="3"/>
        <v>0</v>
      </c>
      <c r="F56" s="47"/>
      <c r="G56" s="47"/>
      <c r="H56" s="331"/>
      <c r="I56" s="130" t="s">
        <v>187</v>
      </c>
      <c r="J56" s="127">
        <f>往来记录!N61</f>
        <v>0</v>
      </c>
      <c r="K56" s="47"/>
      <c r="L56" s="349"/>
      <c r="M56" s="349"/>
      <c r="N56" s="132"/>
      <c r="O56" s="137"/>
      <c r="P56" s="57"/>
      <c r="Q56" s="48"/>
      <c r="R56" s="48"/>
      <c r="S56" s="48">
        <f t="shared" si="0"/>
        <v>0</v>
      </c>
      <c r="T56" s="49"/>
      <c r="U56" s="47"/>
      <c r="X56" s="185" t="str">
        <f t="shared" si="2"/>
        <v/>
      </c>
    </row>
    <row r="57" spans="1:24" ht="14.1" customHeight="1" x14ac:dyDescent="0.15">
      <c r="A57" s="47"/>
      <c r="B57" s="55"/>
      <c r="C57" s="50"/>
      <c r="D57" s="50"/>
      <c r="E57" s="48">
        <f t="shared" si="3"/>
        <v>0</v>
      </c>
      <c r="F57" s="47"/>
      <c r="G57" s="47"/>
      <c r="H57" s="331"/>
      <c r="I57" s="130" t="s">
        <v>188</v>
      </c>
      <c r="J57" s="131"/>
      <c r="K57" s="47"/>
      <c r="L57" s="347" t="s">
        <v>195</v>
      </c>
      <c r="M57" s="348"/>
      <c r="N57" s="134" t="s">
        <v>192</v>
      </c>
      <c r="O57" s="137"/>
      <c r="P57" s="57"/>
      <c r="Q57" s="48"/>
      <c r="R57" s="48"/>
      <c r="S57" s="48">
        <f t="shared" si="0"/>
        <v>0</v>
      </c>
      <c r="T57" s="49"/>
      <c r="U57" s="47"/>
      <c r="X57" s="185" t="str">
        <f t="shared" si="2"/>
        <v/>
      </c>
    </row>
    <row r="58" spans="1:24" ht="14.1" customHeight="1" x14ac:dyDescent="0.15">
      <c r="A58" s="47"/>
      <c r="B58" s="55"/>
      <c r="C58" s="50"/>
      <c r="D58" s="50"/>
      <c r="E58" s="48">
        <f t="shared" si="3"/>
        <v>0</v>
      </c>
      <c r="F58" s="47"/>
      <c r="G58" s="47"/>
      <c r="H58" s="331"/>
      <c r="I58" s="130" t="s">
        <v>189</v>
      </c>
      <c r="J58" s="135">
        <f>J53+J54+J55-J56-J57</f>
        <v>0</v>
      </c>
      <c r="K58" s="47"/>
      <c r="L58" s="333"/>
      <c r="M58" s="333"/>
      <c r="N58" s="136"/>
      <c r="O58" s="137"/>
      <c r="P58" s="57"/>
      <c r="Q58" s="48"/>
      <c r="R58" s="48"/>
      <c r="S58" s="48">
        <f t="shared" si="0"/>
        <v>0</v>
      </c>
      <c r="T58" s="49"/>
      <c r="U58" s="47"/>
      <c r="X58" s="185" t="str">
        <f t="shared" si="2"/>
        <v/>
      </c>
    </row>
    <row r="59" spans="1:24" ht="14.1" customHeight="1" x14ac:dyDescent="0.15">
      <c r="A59" s="47"/>
      <c r="B59" s="55"/>
      <c r="C59" s="50"/>
      <c r="D59" s="50"/>
      <c r="E59" s="48">
        <f t="shared" si="3"/>
        <v>0</v>
      </c>
      <c r="F59" s="47"/>
      <c r="G59" s="47"/>
      <c r="H59" s="47"/>
      <c r="I59" s="47"/>
      <c r="J59" s="47"/>
      <c r="K59" s="47"/>
      <c r="L59" s="347" t="s">
        <v>196</v>
      </c>
      <c r="M59" s="348"/>
      <c r="N59" s="134" t="s">
        <v>197</v>
      </c>
      <c r="O59" s="137"/>
      <c r="P59" s="57"/>
      <c r="Q59" s="48"/>
      <c r="R59" s="48"/>
      <c r="S59" s="48">
        <f t="shared" si="0"/>
        <v>0</v>
      </c>
      <c r="T59" s="49"/>
      <c r="U59" s="47"/>
      <c r="X59" s="185" t="str">
        <f t="shared" si="2"/>
        <v/>
      </c>
    </row>
    <row r="60" spans="1:24" ht="14.1" customHeight="1" x14ac:dyDescent="0.15">
      <c r="A60" s="47"/>
      <c r="B60" s="55"/>
      <c r="C60" s="50"/>
      <c r="D60" s="50"/>
      <c r="E60" s="48">
        <f t="shared" si="3"/>
        <v>0</v>
      </c>
      <c r="F60" s="47"/>
      <c r="G60" s="47"/>
      <c r="K60" s="47"/>
      <c r="L60" s="333" t="s">
        <v>200</v>
      </c>
      <c r="M60" s="333"/>
      <c r="N60" s="165">
        <f>SUM(N52+N54+N56+N58)</f>
        <v>0</v>
      </c>
      <c r="O60" s="137"/>
      <c r="P60" s="57"/>
      <c r="Q60" s="48"/>
      <c r="R60" s="48"/>
      <c r="S60" s="48">
        <f t="shared" si="0"/>
        <v>0</v>
      </c>
      <c r="T60" s="49"/>
      <c r="U60" s="47"/>
      <c r="X60" s="185" t="str">
        <f t="shared" si="2"/>
        <v/>
      </c>
    </row>
    <row r="61" spans="1:24" ht="14.1" customHeight="1" x14ac:dyDescent="0.15">
      <c r="A61" s="47"/>
      <c r="B61" s="55"/>
      <c r="C61" s="50"/>
      <c r="D61" s="50"/>
      <c r="E61" s="48">
        <f t="shared" si="3"/>
        <v>0</v>
      </c>
      <c r="F61" s="47"/>
      <c r="G61" s="47"/>
      <c r="K61" s="47"/>
      <c r="L61" s="47"/>
      <c r="M61" s="47"/>
      <c r="N61" s="47"/>
      <c r="O61" s="47"/>
      <c r="P61" s="57"/>
      <c r="Q61" s="48"/>
      <c r="R61" s="48"/>
      <c r="S61" s="48">
        <f t="shared" si="0"/>
        <v>0</v>
      </c>
      <c r="T61" s="49"/>
      <c r="U61" s="47"/>
      <c r="X61" s="185" t="str">
        <f t="shared" si="2"/>
        <v/>
      </c>
    </row>
    <row r="62" spans="1:24" ht="14.1" customHeight="1" x14ac:dyDescent="0.15">
      <c r="A62" s="47"/>
      <c r="B62" s="55"/>
      <c r="C62" s="50"/>
      <c r="D62" s="50"/>
      <c r="E62" s="48">
        <f t="shared" si="3"/>
        <v>0</v>
      </c>
      <c r="F62" s="47"/>
      <c r="G62" s="47"/>
      <c r="O62" s="47"/>
      <c r="P62" s="57"/>
      <c r="Q62" s="48"/>
      <c r="R62" s="48"/>
      <c r="S62" s="48">
        <f t="shared" si="0"/>
        <v>0</v>
      </c>
      <c r="T62" s="49"/>
      <c r="U62" s="47"/>
      <c r="X62" s="185" t="str">
        <f t="shared" si="2"/>
        <v/>
      </c>
    </row>
    <row r="63" spans="1:24" ht="14.1" customHeight="1" x14ac:dyDescent="0.15">
      <c r="A63" s="47"/>
      <c r="B63" s="55"/>
      <c r="C63" s="50"/>
      <c r="D63" s="50"/>
      <c r="E63" s="48">
        <f t="shared" si="3"/>
        <v>0</v>
      </c>
      <c r="F63" s="47"/>
      <c r="G63" s="47"/>
      <c r="O63" s="47"/>
      <c r="P63" s="57"/>
      <c r="Q63" s="48"/>
      <c r="R63" s="48"/>
      <c r="S63" s="48">
        <f t="shared" si="0"/>
        <v>0</v>
      </c>
      <c r="T63" s="49"/>
      <c r="U63" s="47"/>
      <c r="X63" s="185" t="str">
        <f t="shared" si="2"/>
        <v/>
      </c>
    </row>
    <row r="64" spans="1:24" ht="14.1" customHeight="1" x14ac:dyDescent="0.15">
      <c r="A64" s="47"/>
      <c r="B64" s="55"/>
      <c r="C64" s="50"/>
      <c r="D64" s="50"/>
      <c r="E64" s="48">
        <f t="shared" si="3"/>
        <v>0</v>
      </c>
      <c r="F64" s="47"/>
      <c r="G64" s="47"/>
      <c r="O64" s="47"/>
      <c r="P64" s="57"/>
      <c r="Q64" s="48"/>
      <c r="R64" s="48"/>
      <c r="S64" s="48">
        <f t="shared" si="0"/>
        <v>0</v>
      </c>
      <c r="T64" s="49"/>
      <c r="U64" s="47"/>
      <c r="X64" s="185" t="str">
        <f t="shared" si="2"/>
        <v/>
      </c>
    </row>
    <row r="65" spans="1:24" ht="14.1" customHeight="1" x14ac:dyDescent="0.15">
      <c r="A65" s="47"/>
      <c r="B65" s="55"/>
      <c r="C65" s="50"/>
      <c r="D65" s="50"/>
      <c r="E65" s="48">
        <f t="shared" si="3"/>
        <v>0</v>
      </c>
      <c r="F65" s="47"/>
      <c r="G65" s="47"/>
      <c r="O65" s="47"/>
      <c r="P65" s="57"/>
      <c r="Q65" s="48"/>
      <c r="R65" s="48"/>
      <c r="S65" s="48">
        <f t="shared" ref="S65:S98" si="4">Q65*R65</f>
        <v>0</v>
      </c>
      <c r="T65" s="49"/>
      <c r="U65" s="47"/>
      <c r="X65" s="185" t="str">
        <f t="shared" si="2"/>
        <v/>
      </c>
    </row>
    <row r="66" spans="1:24" ht="14.1" customHeight="1" x14ac:dyDescent="0.15">
      <c r="A66" s="47"/>
      <c r="B66" s="55"/>
      <c r="C66" s="50"/>
      <c r="D66" s="50"/>
      <c r="E66" s="48">
        <f t="shared" ref="E66:E98" si="5">C66*D66</f>
        <v>0</v>
      </c>
      <c r="F66" s="47"/>
      <c r="G66" s="47"/>
      <c r="O66" s="47"/>
      <c r="P66" s="57"/>
      <c r="Q66" s="48"/>
      <c r="R66" s="48"/>
      <c r="S66" s="48">
        <f t="shared" si="4"/>
        <v>0</v>
      </c>
      <c r="T66" s="49"/>
      <c r="U66" s="47"/>
      <c r="X66" s="185" t="str">
        <f t="shared" ref="X66:X98" si="6">_xlfn.TEXTJOIN(":",TRUE,B66,C66,D66)</f>
        <v/>
      </c>
    </row>
    <row r="67" spans="1:24" ht="14.1" customHeight="1" x14ac:dyDescent="0.15">
      <c r="A67" s="47"/>
      <c r="B67" s="55"/>
      <c r="C67" s="50"/>
      <c r="D67" s="50"/>
      <c r="E67" s="48">
        <f t="shared" si="5"/>
        <v>0</v>
      </c>
      <c r="F67" s="47"/>
      <c r="G67" s="47"/>
      <c r="O67" s="47"/>
      <c r="P67" s="57"/>
      <c r="Q67" s="48"/>
      <c r="R67" s="48"/>
      <c r="S67" s="48">
        <f t="shared" si="4"/>
        <v>0</v>
      </c>
      <c r="T67" s="49"/>
      <c r="U67" s="47"/>
      <c r="X67" s="185" t="str">
        <f t="shared" si="6"/>
        <v/>
      </c>
    </row>
    <row r="68" spans="1:24" ht="14.1" customHeight="1" x14ac:dyDescent="0.15">
      <c r="A68" s="47"/>
      <c r="B68" s="55"/>
      <c r="C68" s="50"/>
      <c r="D68" s="50"/>
      <c r="E68" s="48">
        <f t="shared" si="5"/>
        <v>0</v>
      </c>
      <c r="F68" s="47"/>
      <c r="G68" s="47"/>
      <c r="O68" s="47"/>
      <c r="P68" s="57"/>
      <c r="Q68" s="48"/>
      <c r="R68" s="48"/>
      <c r="S68" s="48">
        <f t="shared" si="4"/>
        <v>0</v>
      </c>
      <c r="T68" s="49"/>
      <c r="U68" s="47"/>
      <c r="X68" s="185" t="str">
        <f t="shared" si="6"/>
        <v/>
      </c>
    </row>
    <row r="69" spans="1:24" ht="14.1" customHeight="1" x14ac:dyDescent="0.15">
      <c r="A69" s="47"/>
      <c r="B69" s="55"/>
      <c r="C69" s="50"/>
      <c r="D69" s="50"/>
      <c r="E69" s="48">
        <f t="shared" si="5"/>
        <v>0</v>
      </c>
      <c r="F69" s="47"/>
      <c r="G69" s="47"/>
      <c r="O69" s="47"/>
      <c r="P69" s="57"/>
      <c r="Q69" s="48"/>
      <c r="R69" s="48"/>
      <c r="S69" s="48">
        <f t="shared" si="4"/>
        <v>0</v>
      </c>
      <c r="T69" s="49"/>
      <c r="U69" s="47"/>
      <c r="X69" s="185" t="str">
        <f t="shared" si="6"/>
        <v/>
      </c>
    </row>
    <row r="70" spans="1:24" ht="14.1" customHeight="1" x14ac:dyDescent="0.15">
      <c r="A70" s="47"/>
      <c r="B70" s="55"/>
      <c r="C70" s="50"/>
      <c r="D70" s="50"/>
      <c r="E70" s="48">
        <f t="shared" si="5"/>
        <v>0</v>
      </c>
      <c r="F70" s="47"/>
      <c r="G70" s="47"/>
      <c r="O70" s="47"/>
      <c r="P70" s="57"/>
      <c r="Q70" s="48"/>
      <c r="R70" s="48"/>
      <c r="S70" s="48">
        <f t="shared" si="4"/>
        <v>0</v>
      </c>
      <c r="T70" s="49"/>
      <c r="U70" s="47"/>
      <c r="X70" s="185" t="str">
        <f t="shared" si="6"/>
        <v/>
      </c>
    </row>
    <row r="71" spans="1:24" ht="14.1" customHeight="1" x14ac:dyDescent="0.15">
      <c r="A71" s="47"/>
      <c r="B71" s="55"/>
      <c r="C71" s="50"/>
      <c r="D71" s="50"/>
      <c r="E71" s="48">
        <f t="shared" si="5"/>
        <v>0</v>
      </c>
      <c r="F71" s="47"/>
      <c r="G71" s="47"/>
      <c r="O71" s="47"/>
      <c r="P71" s="57"/>
      <c r="Q71" s="48"/>
      <c r="R71" s="48"/>
      <c r="S71" s="48">
        <f t="shared" si="4"/>
        <v>0</v>
      </c>
      <c r="T71" s="49"/>
      <c r="U71" s="47"/>
      <c r="X71" s="185" t="str">
        <f t="shared" si="6"/>
        <v/>
      </c>
    </row>
    <row r="72" spans="1:24" ht="14.1" customHeight="1" x14ac:dyDescent="0.15">
      <c r="A72" s="47"/>
      <c r="B72" s="55"/>
      <c r="C72" s="50"/>
      <c r="D72" s="50"/>
      <c r="E72" s="48">
        <f t="shared" si="5"/>
        <v>0</v>
      </c>
      <c r="F72" s="47"/>
      <c r="G72" s="47"/>
      <c r="O72" s="47"/>
      <c r="P72" s="57"/>
      <c r="Q72" s="48"/>
      <c r="R72" s="48"/>
      <c r="S72" s="48">
        <f t="shared" si="4"/>
        <v>0</v>
      </c>
      <c r="T72" s="49"/>
      <c r="U72" s="47"/>
      <c r="X72" s="185" t="str">
        <f t="shared" si="6"/>
        <v/>
      </c>
    </row>
    <row r="73" spans="1:24" ht="14.1" customHeight="1" x14ac:dyDescent="0.15">
      <c r="A73" s="47"/>
      <c r="B73" s="55"/>
      <c r="C73" s="50"/>
      <c r="D73" s="50"/>
      <c r="E73" s="48">
        <f t="shared" si="5"/>
        <v>0</v>
      </c>
      <c r="F73" s="47"/>
      <c r="G73" s="47"/>
      <c r="O73" s="47"/>
      <c r="P73" s="57"/>
      <c r="Q73" s="48"/>
      <c r="R73" s="48"/>
      <c r="S73" s="48">
        <f t="shared" si="4"/>
        <v>0</v>
      </c>
      <c r="T73" s="49"/>
      <c r="U73" s="47"/>
      <c r="X73" s="185" t="str">
        <f t="shared" si="6"/>
        <v/>
      </c>
    </row>
    <row r="74" spans="1:24" ht="14.1" customHeight="1" x14ac:dyDescent="0.15">
      <c r="A74" s="47"/>
      <c r="B74" s="55"/>
      <c r="C74" s="50"/>
      <c r="D74" s="50"/>
      <c r="E74" s="48">
        <f t="shared" si="5"/>
        <v>0</v>
      </c>
      <c r="F74" s="47"/>
      <c r="G74" s="47"/>
      <c r="O74" s="47"/>
      <c r="P74" s="57"/>
      <c r="Q74" s="48"/>
      <c r="R74" s="48"/>
      <c r="S74" s="48">
        <f t="shared" si="4"/>
        <v>0</v>
      </c>
      <c r="T74" s="49"/>
      <c r="U74" s="47"/>
      <c r="X74" s="185" t="str">
        <f t="shared" si="6"/>
        <v/>
      </c>
    </row>
    <row r="75" spans="1:24" ht="14.1" customHeight="1" x14ac:dyDescent="0.15">
      <c r="A75" s="47"/>
      <c r="B75" s="55"/>
      <c r="C75" s="50"/>
      <c r="D75" s="50"/>
      <c r="E75" s="48">
        <f t="shared" si="5"/>
        <v>0</v>
      </c>
      <c r="F75" s="47"/>
      <c r="G75" s="47"/>
      <c r="O75" s="47"/>
      <c r="P75" s="57"/>
      <c r="Q75" s="48"/>
      <c r="R75" s="48"/>
      <c r="S75" s="48">
        <f t="shared" si="4"/>
        <v>0</v>
      </c>
      <c r="T75" s="49"/>
      <c r="U75" s="47"/>
      <c r="X75" s="185" t="str">
        <f t="shared" si="6"/>
        <v/>
      </c>
    </row>
    <row r="76" spans="1:24" ht="14.1" customHeight="1" x14ac:dyDescent="0.15">
      <c r="A76" s="47"/>
      <c r="B76" s="55"/>
      <c r="C76" s="50"/>
      <c r="D76" s="50"/>
      <c r="E76" s="48">
        <f t="shared" si="5"/>
        <v>0</v>
      </c>
      <c r="F76" s="47"/>
      <c r="G76" s="47"/>
      <c r="O76" s="47"/>
      <c r="P76" s="57"/>
      <c r="Q76" s="48"/>
      <c r="R76" s="48"/>
      <c r="S76" s="48">
        <f t="shared" si="4"/>
        <v>0</v>
      </c>
      <c r="T76" s="49"/>
      <c r="U76" s="47"/>
      <c r="X76" s="185" t="str">
        <f t="shared" si="6"/>
        <v/>
      </c>
    </row>
    <row r="77" spans="1:24" ht="14.1" customHeight="1" x14ac:dyDescent="0.15">
      <c r="A77" s="47"/>
      <c r="B77" s="55"/>
      <c r="C77" s="50"/>
      <c r="D77" s="50"/>
      <c r="E77" s="48">
        <f t="shared" si="5"/>
        <v>0</v>
      </c>
      <c r="F77" s="47"/>
      <c r="G77" s="47"/>
      <c r="O77" s="47"/>
      <c r="P77" s="57"/>
      <c r="Q77" s="48"/>
      <c r="R77" s="48"/>
      <c r="S77" s="48">
        <f t="shared" si="4"/>
        <v>0</v>
      </c>
      <c r="T77" s="49"/>
      <c r="U77" s="47"/>
      <c r="X77" s="185" t="str">
        <f t="shared" si="6"/>
        <v/>
      </c>
    </row>
    <row r="78" spans="1:24" ht="14.1" customHeight="1" x14ac:dyDescent="0.15">
      <c r="A78" s="47"/>
      <c r="B78" s="55"/>
      <c r="C78" s="50"/>
      <c r="D78" s="50"/>
      <c r="E78" s="48">
        <f t="shared" si="5"/>
        <v>0</v>
      </c>
      <c r="F78" s="47"/>
      <c r="G78" s="47"/>
      <c r="O78" s="47"/>
      <c r="P78" s="57"/>
      <c r="Q78" s="48"/>
      <c r="R78" s="48"/>
      <c r="S78" s="48">
        <f t="shared" si="4"/>
        <v>0</v>
      </c>
      <c r="T78" s="49"/>
      <c r="U78" s="47"/>
      <c r="X78" s="185" t="str">
        <f t="shared" si="6"/>
        <v/>
      </c>
    </row>
    <row r="79" spans="1:24" ht="14.1" customHeight="1" x14ac:dyDescent="0.15">
      <c r="A79" s="47"/>
      <c r="B79" s="55"/>
      <c r="C79" s="50"/>
      <c r="D79" s="50"/>
      <c r="E79" s="48">
        <f t="shared" si="5"/>
        <v>0</v>
      </c>
      <c r="F79" s="47"/>
      <c r="G79" s="47"/>
      <c r="O79" s="47"/>
      <c r="P79" s="57"/>
      <c r="Q79" s="48"/>
      <c r="R79" s="48"/>
      <c r="S79" s="48">
        <f t="shared" si="4"/>
        <v>0</v>
      </c>
      <c r="T79" s="49"/>
      <c r="U79" s="47"/>
      <c r="X79" s="185" t="str">
        <f t="shared" si="6"/>
        <v/>
      </c>
    </row>
    <row r="80" spans="1:24" ht="14.1" customHeight="1" x14ac:dyDescent="0.15">
      <c r="A80" s="47"/>
      <c r="B80" s="55"/>
      <c r="C80" s="50"/>
      <c r="D80" s="50"/>
      <c r="E80" s="48">
        <f t="shared" si="5"/>
        <v>0</v>
      </c>
      <c r="F80" s="47"/>
      <c r="G80" s="47"/>
      <c r="O80" s="47"/>
      <c r="P80" s="57"/>
      <c r="Q80" s="48"/>
      <c r="R80" s="48"/>
      <c r="S80" s="48">
        <f t="shared" si="4"/>
        <v>0</v>
      </c>
      <c r="T80" s="49"/>
      <c r="U80" s="47"/>
      <c r="X80" s="185" t="str">
        <f t="shared" si="6"/>
        <v/>
      </c>
    </row>
    <row r="81" spans="1:24" ht="14.1" customHeight="1" x14ac:dyDescent="0.15">
      <c r="A81" s="47"/>
      <c r="B81" s="55"/>
      <c r="C81" s="50"/>
      <c r="D81" s="50"/>
      <c r="E81" s="48">
        <f t="shared" si="5"/>
        <v>0</v>
      </c>
      <c r="F81" s="47"/>
      <c r="G81" s="47"/>
      <c r="O81" s="47"/>
      <c r="P81" s="57"/>
      <c r="Q81" s="48"/>
      <c r="R81" s="48"/>
      <c r="S81" s="48">
        <f t="shared" si="4"/>
        <v>0</v>
      </c>
      <c r="T81" s="49"/>
      <c r="U81" s="47"/>
      <c r="X81" s="185" t="str">
        <f t="shared" si="6"/>
        <v/>
      </c>
    </row>
    <row r="82" spans="1:24" ht="14.1" customHeight="1" x14ac:dyDescent="0.15">
      <c r="A82" s="47"/>
      <c r="B82" s="55"/>
      <c r="C82" s="50"/>
      <c r="D82" s="50"/>
      <c r="E82" s="48">
        <f t="shared" si="5"/>
        <v>0</v>
      </c>
      <c r="F82" s="47"/>
      <c r="G82" s="47"/>
      <c r="O82" s="47"/>
      <c r="P82" s="57"/>
      <c r="Q82" s="48"/>
      <c r="R82" s="48"/>
      <c r="S82" s="48">
        <f t="shared" si="4"/>
        <v>0</v>
      </c>
      <c r="T82" s="49"/>
      <c r="U82" s="47"/>
      <c r="X82" s="185" t="str">
        <f t="shared" si="6"/>
        <v/>
      </c>
    </row>
    <row r="83" spans="1:24" ht="14.1" customHeight="1" x14ac:dyDescent="0.15">
      <c r="A83" s="47"/>
      <c r="B83" s="55"/>
      <c r="C83" s="50"/>
      <c r="D83" s="50"/>
      <c r="E83" s="48">
        <f t="shared" si="5"/>
        <v>0</v>
      </c>
      <c r="F83" s="47"/>
      <c r="G83" s="47"/>
      <c r="O83" s="47"/>
      <c r="P83" s="57"/>
      <c r="Q83" s="48"/>
      <c r="R83" s="48"/>
      <c r="S83" s="48">
        <f t="shared" si="4"/>
        <v>0</v>
      </c>
      <c r="T83" s="49"/>
      <c r="U83" s="47"/>
      <c r="X83" s="185" t="str">
        <f t="shared" si="6"/>
        <v/>
      </c>
    </row>
    <row r="84" spans="1:24" ht="14.1" customHeight="1" x14ac:dyDescent="0.15">
      <c r="A84" s="47"/>
      <c r="B84" s="55"/>
      <c r="C84" s="50"/>
      <c r="D84" s="50"/>
      <c r="E84" s="48">
        <f t="shared" si="5"/>
        <v>0</v>
      </c>
      <c r="F84" s="47"/>
      <c r="G84" s="47"/>
      <c r="O84" s="47"/>
      <c r="P84" s="57"/>
      <c r="Q84" s="48"/>
      <c r="R84" s="48"/>
      <c r="S84" s="48">
        <f t="shared" si="4"/>
        <v>0</v>
      </c>
      <c r="T84" s="49"/>
      <c r="U84" s="47"/>
      <c r="X84" s="185" t="str">
        <f t="shared" si="6"/>
        <v/>
      </c>
    </row>
    <row r="85" spans="1:24" ht="14.1" customHeight="1" x14ac:dyDescent="0.15">
      <c r="A85" s="47"/>
      <c r="B85" s="55"/>
      <c r="C85" s="50"/>
      <c r="D85" s="50"/>
      <c r="E85" s="48">
        <f t="shared" si="5"/>
        <v>0</v>
      </c>
      <c r="F85" s="47"/>
      <c r="G85" s="47"/>
      <c r="O85" s="47"/>
      <c r="P85" s="57"/>
      <c r="Q85" s="48"/>
      <c r="R85" s="48"/>
      <c r="S85" s="48">
        <f t="shared" si="4"/>
        <v>0</v>
      </c>
      <c r="T85" s="49"/>
      <c r="U85" s="47"/>
      <c r="X85" s="185" t="str">
        <f t="shared" si="6"/>
        <v/>
      </c>
    </row>
    <row r="86" spans="1:24" ht="14.1" customHeight="1" x14ac:dyDescent="0.15">
      <c r="A86" s="47"/>
      <c r="B86" s="55"/>
      <c r="C86" s="50"/>
      <c r="D86" s="50"/>
      <c r="E86" s="48">
        <f t="shared" si="5"/>
        <v>0</v>
      </c>
      <c r="F86" s="47"/>
      <c r="G86" s="47"/>
      <c r="O86" s="47"/>
      <c r="P86" s="57"/>
      <c r="Q86" s="48"/>
      <c r="R86" s="48"/>
      <c r="S86" s="48">
        <f t="shared" si="4"/>
        <v>0</v>
      </c>
      <c r="T86" s="49"/>
      <c r="U86" s="47"/>
      <c r="X86" s="185" t="str">
        <f t="shared" si="6"/>
        <v/>
      </c>
    </row>
    <row r="87" spans="1:24" ht="14.1" customHeight="1" x14ac:dyDescent="0.15">
      <c r="A87" s="47"/>
      <c r="B87" s="55"/>
      <c r="C87" s="50"/>
      <c r="D87" s="50"/>
      <c r="E87" s="48">
        <f t="shared" si="5"/>
        <v>0</v>
      </c>
      <c r="F87" s="47"/>
      <c r="G87" s="47"/>
      <c r="O87" s="47"/>
      <c r="P87" s="57"/>
      <c r="Q87" s="48"/>
      <c r="R87" s="48"/>
      <c r="S87" s="48">
        <f t="shared" si="4"/>
        <v>0</v>
      </c>
      <c r="T87" s="49"/>
      <c r="U87" s="47"/>
      <c r="X87" s="185" t="str">
        <f t="shared" si="6"/>
        <v/>
      </c>
    </row>
    <row r="88" spans="1:24" ht="14.1" customHeight="1" x14ac:dyDescent="0.15">
      <c r="A88" s="47"/>
      <c r="B88" s="55"/>
      <c r="C88" s="50"/>
      <c r="D88" s="50"/>
      <c r="E88" s="48">
        <f t="shared" si="5"/>
        <v>0</v>
      </c>
      <c r="F88" s="47"/>
      <c r="G88" s="47"/>
      <c r="O88" s="47"/>
      <c r="P88" s="57"/>
      <c r="Q88" s="48"/>
      <c r="R88" s="48"/>
      <c r="S88" s="48">
        <f t="shared" si="4"/>
        <v>0</v>
      </c>
      <c r="T88" s="49"/>
      <c r="U88" s="47"/>
      <c r="X88" s="185" t="str">
        <f t="shared" si="6"/>
        <v/>
      </c>
    </row>
    <row r="89" spans="1:24" ht="14.1" customHeight="1" x14ac:dyDescent="0.15">
      <c r="A89" s="47"/>
      <c r="B89" s="55"/>
      <c r="C89" s="50"/>
      <c r="D89" s="50"/>
      <c r="E89" s="48">
        <f t="shared" si="5"/>
        <v>0</v>
      </c>
      <c r="F89" s="47"/>
      <c r="G89" s="47"/>
      <c r="O89" s="47"/>
      <c r="P89" s="57"/>
      <c r="Q89" s="48"/>
      <c r="R89" s="48"/>
      <c r="S89" s="48">
        <f t="shared" si="4"/>
        <v>0</v>
      </c>
      <c r="T89" s="49"/>
      <c r="U89" s="47"/>
      <c r="X89" s="185" t="str">
        <f t="shared" si="6"/>
        <v/>
      </c>
    </row>
    <row r="90" spans="1:24" ht="14.1" customHeight="1" x14ac:dyDescent="0.15">
      <c r="A90" s="47"/>
      <c r="B90" s="55"/>
      <c r="C90" s="50"/>
      <c r="D90" s="50"/>
      <c r="E90" s="48">
        <f t="shared" si="5"/>
        <v>0</v>
      </c>
      <c r="F90" s="47"/>
      <c r="G90" s="47"/>
      <c r="O90" s="47"/>
      <c r="P90" s="57"/>
      <c r="Q90" s="48"/>
      <c r="R90" s="48"/>
      <c r="S90" s="48">
        <f t="shared" si="4"/>
        <v>0</v>
      </c>
      <c r="T90" s="49"/>
      <c r="U90" s="47"/>
      <c r="X90" s="185" t="str">
        <f t="shared" si="6"/>
        <v/>
      </c>
    </row>
    <row r="91" spans="1:24" ht="14.1" customHeight="1" x14ac:dyDescent="0.15">
      <c r="A91" s="47"/>
      <c r="B91" s="55"/>
      <c r="C91" s="50"/>
      <c r="D91" s="50"/>
      <c r="E91" s="48">
        <f t="shared" si="5"/>
        <v>0</v>
      </c>
      <c r="F91" s="47"/>
      <c r="G91" s="47"/>
      <c r="O91" s="47"/>
      <c r="P91" s="57"/>
      <c r="Q91" s="48"/>
      <c r="R91" s="48"/>
      <c r="S91" s="48">
        <f t="shared" si="4"/>
        <v>0</v>
      </c>
      <c r="T91" s="49"/>
      <c r="U91" s="47"/>
      <c r="X91" s="185" t="str">
        <f t="shared" si="6"/>
        <v/>
      </c>
    </row>
    <row r="92" spans="1:24" ht="14.1" customHeight="1" x14ac:dyDescent="0.15">
      <c r="A92" s="47"/>
      <c r="B92" s="55"/>
      <c r="C92" s="50"/>
      <c r="D92" s="50"/>
      <c r="E92" s="48">
        <f t="shared" si="5"/>
        <v>0</v>
      </c>
      <c r="F92" s="47"/>
      <c r="G92" s="47"/>
      <c r="O92" s="47"/>
      <c r="P92" s="57"/>
      <c r="Q92" s="48"/>
      <c r="R92" s="48"/>
      <c r="S92" s="48">
        <f t="shared" si="4"/>
        <v>0</v>
      </c>
      <c r="T92" s="49"/>
      <c r="U92" s="47"/>
      <c r="X92" s="185" t="str">
        <f t="shared" si="6"/>
        <v/>
      </c>
    </row>
    <row r="93" spans="1:24" ht="14.1" customHeight="1" x14ac:dyDescent="0.15">
      <c r="A93" s="47"/>
      <c r="B93" s="55"/>
      <c r="C93" s="50"/>
      <c r="D93" s="50"/>
      <c r="E93" s="48">
        <f t="shared" si="5"/>
        <v>0</v>
      </c>
      <c r="F93" s="47"/>
      <c r="G93" s="47"/>
      <c r="O93" s="47"/>
      <c r="P93" s="57"/>
      <c r="Q93" s="48"/>
      <c r="R93" s="48"/>
      <c r="S93" s="48">
        <f t="shared" si="4"/>
        <v>0</v>
      </c>
      <c r="T93" s="49"/>
      <c r="U93" s="47"/>
      <c r="X93" s="185" t="str">
        <f t="shared" si="6"/>
        <v/>
      </c>
    </row>
    <row r="94" spans="1:24" ht="14.1" customHeight="1" x14ac:dyDescent="0.15">
      <c r="A94" s="47"/>
      <c r="B94" s="55"/>
      <c r="C94" s="50"/>
      <c r="D94" s="50"/>
      <c r="E94" s="48">
        <f t="shared" si="5"/>
        <v>0</v>
      </c>
      <c r="F94" s="47"/>
      <c r="G94" s="47"/>
      <c r="O94" s="47"/>
      <c r="P94" s="57"/>
      <c r="Q94" s="48"/>
      <c r="R94" s="48"/>
      <c r="S94" s="48">
        <f t="shared" si="4"/>
        <v>0</v>
      </c>
      <c r="T94" s="49"/>
      <c r="U94" s="47"/>
      <c r="X94" s="185" t="str">
        <f t="shared" si="6"/>
        <v/>
      </c>
    </row>
    <row r="95" spans="1:24" ht="14.1" customHeight="1" x14ac:dyDescent="0.15">
      <c r="A95" s="47"/>
      <c r="B95" s="55"/>
      <c r="C95" s="50"/>
      <c r="D95" s="50"/>
      <c r="E95" s="48">
        <f t="shared" si="5"/>
        <v>0</v>
      </c>
      <c r="F95" s="47"/>
      <c r="G95" s="47"/>
      <c r="O95" s="47"/>
      <c r="P95" s="57"/>
      <c r="Q95" s="48"/>
      <c r="R95" s="48"/>
      <c r="S95" s="48">
        <f t="shared" si="4"/>
        <v>0</v>
      </c>
      <c r="T95" s="49"/>
      <c r="U95" s="47"/>
      <c r="X95" s="185" t="str">
        <f t="shared" si="6"/>
        <v/>
      </c>
    </row>
    <row r="96" spans="1:24" ht="14.1" customHeight="1" x14ac:dyDescent="0.15">
      <c r="A96" s="47"/>
      <c r="B96" s="55"/>
      <c r="C96" s="50"/>
      <c r="D96" s="50"/>
      <c r="E96" s="48">
        <f t="shared" si="5"/>
        <v>0</v>
      </c>
      <c r="F96" s="47"/>
      <c r="G96" s="47"/>
      <c r="O96" s="47"/>
      <c r="P96" s="57"/>
      <c r="Q96" s="48"/>
      <c r="R96" s="48"/>
      <c r="S96" s="48">
        <f t="shared" si="4"/>
        <v>0</v>
      </c>
      <c r="T96" s="49"/>
      <c r="U96" s="47"/>
      <c r="X96" s="185" t="str">
        <f t="shared" si="6"/>
        <v/>
      </c>
    </row>
    <row r="97" spans="1:24" ht="14.1" customHeight="1" x14ac:dyDescent="0.15">
      <c r="A97" s="47"/>
      <c r="B97" s="55"/>
      <c r="C97" s="50"/>
      <c r="D97" s="50"/>
      <c r="E97" s="48">
        <f t="shared" si="5"/>
        <v>0</v>
      </c>
      <c r="F97" s="47"/>
      <c r="G97" s="47"/>
      <c r="O97" s="47"/>
      <c r="P97" s="57"/>
      <c r="Q97" s="48"/>
      <c r="R97" s="48"/>
      <c r="S97" s="48">
        <f t="shared" si="4"/>
        <v>0</v>
      </c>
      <c r="T97" s="49"/>
      <c r="U97" s="47"/>
      <c r="X97" s="185" t="str">
        <f t="shared" si="6"/>
        <v/>
      </c>
    </row>
    <row r="98" spans="1:24" ht="14.1" customHeight="1" x14ac:dyDescent="0.15">
      <c r="A98" s="47"/>
      <c r="B98" s="55"/>
      <c r="C98" s="50"/>
      <c r="D98" s="50"/>
      <c r="E98" s="48">
        <f t="shared" si="5"/>
        <v>0</v>
      </c>
      <c r="F98" s="47"/>
      <c r="G98" s="47"/>
      <c r="O98" s="47"/>
      <c r="P98" s="57"/>
      <c r="Q98" s="48"/>
      <c r="R98" s="48"/>
      <c r="S98" s="48">
        <f t="shared" si="4"/>
        <v>0</v>
      </c>
      <c r="T98" s="49"/>
      <c r="U98" s="47"/>
      <c r="X98" s="185" t="str">
        <f t="shared" si="6"/>
        <v/>
      </c>
    </row>
    <row r="99" spans="1:24" ht="14.1" customHeight="1" x14ac:dyDescent="0.15">
      <c r="A99" s="47"/>
      <c r="B99" s="54"/>
      <c r="C99" s="47"/>
      <c r="D99" s="47"/>
      <c r="E99" s="47"/>
      <c r="F99" s="47"/>
      <c r="G99" s="47"/>
      <c r="H99" s="47"/>
      <c r="I99" s="47"/>
      <c r="J99" s="47"/>
      <c r="K99" s="47"/>
      <c r="L99" s="47"/>
      <c r="M99" s="47"/>
      <c r="N99" s="47"/>
      <c r="O99" s="47"/>
      <c r="P99" s="54"/>
      <c r="Q99" s="47"/>
      <c r="R99" s="47"/>
      <c r="S99" s="47"/>
      <c r="T99" s="47"/>
      <c r="U99" s="47"/>
    </row>
  </sheetData>
  <mergeCells count="22">
    <mergeCell ref="L60:M60"/>
    <mergeCell ref="L49:N49"/>
    <mergeCell ref="L59:M59"/>
    <mergeCell ref="L54:M54"/>
    <mergeCell ref="L55:M55"/>
    <mergeCell ref="L56:M56"/>
    <mergeCell ref="H51:H52"/>
    <mergeCell ref="H53:H58"/>
    <mergeCell ref="H49:J49"/>
    <mergeCell ref="L58:M58"/>
    <mergeCell ref="H1:J1"/>
    <mergeCell ref="L1:N1"/>
    <mergeCell ref="H2:J2"/>
    <mergeCell ref="L2:N2"/>
    <mergeCell ref="H46:J47"/>
    <mergeCell ref="L46:N47"/>
    <mergeCell ref="H3:J45"/>
    <mergeCell ref="L3:N45"/>
    <mergeCell ref="L51:M51"/>
    <mergeCell ref="L52:M52"/>
    <mergeCell ref="L53:M53"/>
    <mergeCell ref="L57:M57"/>
  </mergeCells>
  <phoneticPr fontId="33"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AN51"/>
  <sheetViews>
    <sheetView zoomScaleNormal="100" workbookViewId="0">
      <selection activeCell="J53" sqref="J53"/>
    </sheetView>
  </sheetViews>
  <sheetFormatPr defaultColWidth="8.875" defaultRowHeight="15" customHeight="1" x14ac:dyDescent="0.15"/>
  <cols>
    <col min="1" max="1" width="2.625" style="90" customWidth="1"/>
    <col min="2" max="2" width="1.75" style="90" customWidth="1"/>
    <col min="3" max="3" width="10.875" style="90" customWidth="1"/>
    <col min="4" max="4" width="30.75" style="90" customWidth="1"/>
    <col min="5" max="5" width="1.75" style="90" customWidth="1"/>
    <col min="6" max="6" width="2.625" style="90" customWidth="1"/>
    <col min="7" max="7" width="1.75" style="90" customWidth="1"/>
    <col min="8" max="16" width="8.875" style="90"/>
    <col min="17" max="17" width="1.75" style="90" customWidth="1"/>
    <col min="18" max="18" width="2.625" style="90" customWidth="1"/>
    <col min="19" max="19" width="1.75" style="90" customWidth="1"/>
    <col min="20" max="22" width="8.875" style="90"/>
    <col min="23" max="23" width="1.75" style="90" customWidth="1"/>
    <col min="24" max="37" width="8.875" style="90"/>
    <col min="38" max="38" width="1.75" style="90" customWidth="1"/>
    <col min="39" max="16384" width="8.875" style="90"/>
  </cols>
  <sheetData>
    <row r="1" spans="2:40" ht="15" customHeight="1" x14ac:dyDescent="0.15">
      <c r="R1" s="99"/>
      <c r="S1" s="99"/>
      <c r="T1" s="99"/>
      <c r="U1" s="99"/>
      <c r="V1" s="99"/>
      <c r="W1" s="99"/>
      <c r="X1" s="99"/>
      <c r="Y1" s="99"/>
      <c r="Z1" s="99"/>
      <c r="AA1" s="99"/>
      <c r="AB1" s="99"/>
      <c r="AC1" s="99"/>
      <c r="AD1" s="99"/>
      <c r="AE1" s="99"/>
      <c r="AF1" s="99"/>
      <c r="AG1" s="99"/>
      <c r="AH1" s="99"/>
      <c r="AI1" s="99"/>
      <c r="AJ1" s="99"/>
      <c r="AK1" s="99"/>
      <c r="AL1" s="99"/>
      <c r="AM1" s="99"/>
      <c r="AN1" s="99"/>
    </row>
    <row r="2" spans="2:40" ht="15" customHeight="1" x14ac:dyDescent="0.15">
      <c r="B2" s="95"/>
      <c r="C2" s="111" t="s">
        <v>588</v>
      </c>
      <c r="G2" s="95"/>
      <c r="H2" s="111" t="s">
        <v>587</v>
      </c>
      <c r="I2" s="103"/>
      <c r="R2" s="99"/>
      <c r="S2" s="95"/>
      <c r="T2" s="138" t="s">
        <v>309</v>
      </c>
      <c r="U2" s="103"/>
      <c r="V2" s="99"/>
      <c r="W2" s="99"/>
      <c r="X2" s="99"/>
      <c r="Y2" s="99"/>
      <c r="Z2" s="99"/>
      <c r="AA2" s="99"/>
      <c r="AB2" s="99"/>
      <c r="AC2" s="99"/>
      <c r="AD2" s="99"/>
      <c r="AE2" s="99"/>
      <c r="AF2" s="99"/>
      <c r="AG2" s="99"/>
      <c r="AH2" s="99"/>
      <c r="AI2" s="99"/>
      <c r="AJ2" s="99"/>
      <c r="AK2" s="99"/>
      <c r="AL2" s="99"/>
      <c r="AM2" s="99"/>
      <c r="AN2" s="99"/>
    </row>
    <row r="3" spans="2:40" ht="15" customHeight="1" x14ac:dyDescent="0.15">
      <c r="B3" s="100"/>
      <c r="C3" s="100"/>
      <c r="D3" s="100"/>
      <c r="E3" s="100"/>
      <c r="G3" s="100"/>
      <c r="H3" s="100"/>
      <c r="I3" s="100"/>
      <c r="J3" s="100"/>
      <c r="K3" s="100"/>
      <c r="L3" s="100"/>
      <c r="M3" s="100"/>
      <c r="N3" s="100"/>
      <c r="O3" s="100"/>
      <c r="P3" s="100"/>
      <c r="Q3" s="100"/>
      <c r="R3" s="99"/>
      <c r="S3" s="102"/>
      <c r="T3" s="102"/>
      <c r="U3" s="102"/>
      <c r="V3" s="102"/>
      <c r="W3" s="102"/>
      <c r="X3" s="99"/>
      <c r="Y3" s="99"/>
      <c r="Z3" s="99"/>
      <c r="AA3" s="99"/>
      <c r="AB3" s="99"/>
      <c r="AC3" s="99"/>
      <c r="AD3" s="99"/>
      <c r="AE3" s="99"/>
      <c r="AF3" s="99"/>
      <c r="AG3" s="99"/>
      <c r="AH3" s="99"/>
      <c r="AI3" s="99"/>
      <c r="AJ3" s="99"/>
      <c r="AK3" s="99"/>
      <c r="AL3" s="99"/>
      <c r="AM3" s="99"/>
      <c r="AN3" s="99"/>
    </row>
    <row r="4" spans="2:40" ht="15" customHeight="1" x14ac:dyDescent="0.15">
      <c r="B4" s="100"/>
      <c r="C4" s="356" t="s">
        <v>310</v>
      </c>
      <c r="D4" s="357"/>
      <c r="E4" s="100"/>
      <c r="G4" s="100"/>
      <c r="H4" s="97" t="s">
        <v>311</v>
      </c>
      <c r="I4" s="354" t="s">
        <v>312</v>
      </c>
      <c r="J4" s="353"/>
      <c r="K4" s="353"/>
      <c r="L4" s="353" t="s">
        <v>313</v>
      </c>
      <c r="M4" s="353"/>
      <c r="N4" s="353"/>
      <c r="O4" s="353"/>
      <c r="P4" s="353"/>
      <c r="Q4" s="100"/>
      <c r="R4" s="99"/>
      <c r="S4" s="102"/>
      <c r="T4" s="351"/>
      <c r="U4" s="351"/>
      <c r="V4" s="351"/>
      <c r="W4" s="104"/>
      <c r="X4" s="105"/>
      <c r="Y4" s="105"/>
      <c r="Z4" s="105"/>
      <c r="AA4" s="105"/>
      <c r="AB4" s="105"/>
      <c r="AC4" s="105"/>
      <c r="AD4" s="105"/>
      <c r="AE4" s="105"/>
      <c r="AF4" s="105"/>
      <c r="AG4" s="105"/>
      <c r="AH4" s="105"/>
      <c r="AI4" s="105"/>
      <c r="AJ4" s="105"/>
      <c r="AK4" s="105"/>
      <c r="AL4" s="99"/>
      <c r="AM4" s="99"/>
      <c r="AN4" s="99"/>
    </row>
    <row r="5" spans="2:40" ht="15" customHeight="1" x14ac:dyDescent="0.15">
      <c r="B5" s="100"/>
      <c r="C5" s="106" t="s">
        <v>314</v>
      </c>
      <c r="D5" s="98"/>
      <c r="E5" s="100"/>
      <c r="G5" s="100"/>
      <c r="H5" s="98"/>
      <c r="I5" s="350"/>
      <c r="J5" s="350"/>
      <c r="K5" s="350"/>
      <c r="L5" s="350"/>
      <c r="M5" s="350"/>
      <c r="N5" s="350"/>
      <c r="O5" s="350"/>
      <c r="P5" s="350"/>
      <c r="Q5" s="100"/>
      <c r="R5" s="99"/>
      <c r="S5" s="102"/>
      <c r="T5" s="351"/>
      <c r="U5" s="351"/>
      <c r="V5" s="351"/>
      <c r="W5" s="102"/>
      <c r="X5" s="99"/>
      <c r="Y5" s="99"/>
      <c r="Z5" s="99"/>
      <c r="AA5" s="99"/>
      <c r="AB5" s="99"/>
      <c r="AC5" s="99"/>
      <c r="AD5" s="99"/>
      <c r="AE5" s="99"/>
      <c r="AF5" s="99"/>
      <c r="AG5" s="99"/>
      <c r="AH5" s="99"/>
      <c r="AI5" s="99"/>
      <c r="AJ5" s="99"/>
      <c r="AK5" s="99"/>
      <c r="AL5" s="99"/>
      <c r="AM5" s="99"/>
      <c r="AN5" s="99"/>
    </row>
    <row r="6" spans="2:40" ht="15" customHeight="1" x14ac:dyDescent="0.15">
      <c r="B6" s="100"/>
      <c r="C6" s="107" t="s">
        <v>315</v>
      </c>
      <c r="D6" s="98"/>
      <c r="E6" s="100"/>
      <c r="G6" s="100"/>
      <c r="H6" s="98"/>
      <c r="I6" s="350"/>
      <c r="J6" s="350"/>
      <c r="K6" s="350"/>
      <c r="L6" s="350"/>
      <c r="M6" s="350"/>
      <c r="N6" s="350"/>
      <c r="O6" s="350"/>
      <c r="P6" s="350"/>
      <c r="Q6" s="100"/>
      <c r="R6" s="99"/>
      <c r="S6" s="102"/>
      <c r="T6" s="351"/>
      <c r="U6" s="351"/>
      <c r="V6" s="351"/>
      <c r="W6" s="102"/>
      <c r="X6" s="99"/>
      <c r="Y6" s="99"/>
      <c r="Z6" s="99"/>
      <c r="AA6" s="99"/>
      <c r="AB6" s="99"/>
      <c r="AC6" s="99"/>
      <c r="AD6" s="99"/>
      <c r="AE6" s="99"/>
      <c r="AF6" s="99"/>
      <c r="AG6" s="99"/>
      <c r="AH6" s="99"/>
      <c r="AI6" s="99"/>
      <c r="AJ6" s="99"/>
      <c r="AK6" s="99"/>
      <c r="AL6" s="99"/>
      <c r="AM6" s="99"/>
      <c r="AN6" s="99"/>
    </row>
    <row r="7" spans="2:40" ht="15" customHeight="1" x14ac:dyDescent="0.15">
      <c r="B7" s="100"/>
      <c r="C7" s="107" t="s">
        <v>316</v>
      </c>
      <c r="D7" s="98"/>
      <c r="E7" s="100"/>
      <c r="G7" s="100"/>
      <c r="H7" s="98"/>
      <c r="I7" s="350"/>
      <c r="J7" s="350"/>
      <c r="K7" s="350"/>
      <c r="L7" s="350"/>
      <c r="M7" s="350"/>
      <c r="N7" s="350"/>
      <c r="O7" s="350"/>
      <c r="P7" s="350"/>
      <c r="Q7" s="100"/>
      <c r="R7" s="99"/>
      <c r="S7" s="102"/>
      <c r="T7" s="351"/>
      <c r="U7" s="351"/>
      <c r="V7" s="351"/>
      <c r="W7" s="102"/>
      <c r="X7" s="99"/>
      <c r="Y7" s="99"/>
      <c r="Z7" s="99"/>
      <c r="AA7" s="99"/>
      <c r="AB7" s="99"/>
      <c r="AC7" s="99"/>
      <c r="AD7" s="99"/>
      <c r="AE7" s="99"/>
      <c r="AF7" s="99"/>
      <c r="AG7" s="99"/>
      <c r="AH7" s="99"/>
      <c r="AI7" s="99"/>
      <c r="AJ7" s="99"/>
      <c r="AK7" s="99"/>
      <c r="AL7" s="99"/>
      <c r="AM7" s="99"/>
      <c r="AN7" s="99"/>
    </row>
    <row r="8" spans="2:40" ht="15" customHeight="1" x14ac:dyDescent="0.15">
      <c r="B8" s="100"/>
      <c r="C8" s="107" t="s">
        <v>317</v>
      </c>
      <c r="D8" s="98"/>
      <c r="E8" s="100"/>
      <c r="G8" s="100"/>
      <c r="H8" s="98"/>
      <c r="I8" s="350"/>
      <c r="J8" s="350"/>
      <c r="K8" s="350"/>
      <c r="L8" s="350"/>
      <c r="M8" s="350"/>
      <c r="N8" s="350"/>
      <c r="O8" s="350"/>
      <c r="P8" s="350"/>
      <c r="Q8" s="100"/>
      <c r="R8" s="99"/>
      <c r="S8" s="102"/>
      <c r="T8" s="351"/>
      <c r="U8" s="351"/>
      <c r="V8" s="351"/>
      <c r="W8" s="102"/>
      <c r="X8" s="99"/>
      <c r="Y8" s="99"/>
      <c r="Z8" s="99"/>
      <c r="AA8" s="99"/>
      <c r="AB8" s="99"/>
      <c r="AC8" s="99"/>
      <c r="AD8" s="99"/>
      <c r="AE8" s="99"/>
      <c r="AF8" s="99"/>
      <c r="AG8" s="99"/>
      <c r="AH8" s="99"/>
      <c r="AI8" s="99"/>
      <c r="AJ8" s="99"/>
      <c r="AK8" s="99"/>
      <c r="AL8" s="99"/>
      <c r="AM8" s="99"/>
      <c r="AN8" s="99"/>
    </row>
    <row r="9" spans="2:40" ht="15" customHeight="1" x14ac:dyDescent="0.15">
      <c r="B9" s="100"/>
      <c r="C9" s="108" t="s">
        <v>318</v>
      </c>
      <c r="D9" s="98"/>
      <c r="E9" s="100"/>
      <c r="G9" s="100"/>
      <c r="H9" s="98"/>
      <c r="I9" s="350"/>
      <c r="J9" s="350"/>
      <c r="K9" s="350"/>
      <c r="L9" s="350"/>
      <c r="M9" s="350"/>
      <c r="N9" s="350"/>
      <c r="O9" s="350"/>
      <c r="P9" s="350"/>
      <c r="Q9" s="100"/>
      <c r="R9" s="99"/>
      <c r="S9" s="102"/>
      <c r="T9" s="351"/>
      <c r="U9" s="351"/>
      <c r="V9" s="351"/>
      <c r="W9" s="102"/>
      <c r="X9" s="99"/>
      <c r="Y9" s="99"/>
      <c r="Z9" s="99"/>
      <c r="AA9" s="99"/>
      <c r="AB9" s="99"/>
      <c r="AC9" s="99"/>
      <c r="AD9" s="99"/>
      <c r="AE9" s="99"/>
      <c r="AF9" s="99"/>
      <c r="AG9" s="99"/>
      <c r="AH9" s="99"/>
      <c r="AI9" s="99"/>
      <c r="AJ9" s="99"/>
      <c r="AK9" s="99"/>
      <c r="AL9" s="99"/>
      <c r="AM9" s="99"/>
      <c r="AN9" s="99"/>
    </row>
    <row r="10" spans="2:40" ht="15" customHeight="1" x14ac:dyDescent="0.15">
      <c r="B10" s="100"/>
      <c r="C10" s="356" t="s">
        <v>319</v>
      </c>
      <c r="D10" s="355"/>
      <c r="E10" s="100"/>
      <c r="G10" s="100"/>
      <c r="H10" s="98"/>
      <c r="I10" s="350"/>
      <c r="J10" s="350"/>
      <c r="K10" s="350"/>
      <c r="L10" s="350"/>
      <c r="M10" s="350"/>
      <c r="N10" s="350"/>
      <c r="O10" s="350"/>
      <c r="P10" s="350"/>
      <c r="Q10" s="100"/>
      <c r="R10" s="99"/>
      <c r="S10" s="102"/>
      <c r="T10" s="351"/>
      <c r="U10" s="351"/>
      <c r="V10" s="351"/>
      <c r="W10" s="102"/>
      <c r="X10" s="99"/>
      <c r="Y10" s="99"/>
      <c r="Z10" s="99"/>
      <c r="AA10" s="99"/>
      <c r="AB10" s="99"/>
      <c r="AC10" s="99"/>
      <c r="AD10" s="99"/>
      <c r="AE10" s="99"/>
      <c r="AF10" s="99"/>
      <c r="AG10" s="99"/>
      <c r="AH10" s="99"/>
      <c r="AI10" s="99"/>
      <c r="AJ10" s="99"/>
      <c r="AK10" s="99"/>
      <c r="AL10" s="99"/>
      <c r="AM10" s="99"/>
      <c r="AN10" s="99"/>
    </row>
    <row r="11" spans="2:40" ht="15" customHeight="1" x14ac:dyDescent="0.15">
      <c r="B11" s="100"/>
      <c r="C11" s="106" t="s">
        <v>320</v>
      </c>
      <c r="D11" s="98"/>
      <c r="E11" s="100"/>
      <c r="G11" s="100"/>
      <c r="H11" s="98"/>
      <c r="I11" s="350"/>
      <c r="J11" s="350"/>
      <c r="K11" s="350"/>
      <c r="L11" s="350"/>
      <c r="M11" s="350"/>
      <c r="N11" s="350"/>
      <c r="O11" s="350"/>
      <c r="P11" s="350"/>
      <c r="Q11" s="100"/>
      <c r="R11" s="99"/>
      <c r="S11" s="102"/>
      <c r="T11" s="351"/>
      <c r="U11" s="351"/>
      <c r="V11" s="351"/>
      <c r="W11" s="102"/>
      <c r="X11" s="99"/>
      <c r="Y11" s="99"/>
      <c r="Z11" s="99"/>
      <c r="AA11" s="99"/>
      <c r="AB11" s="99"/>
      <c r="AC11" s="99"/>
      <c r="AD11" s="99"/>
      <c r="AE11" s="99"/>
      <c r="AF11" s="99"/>
      <c r="AG11" s="99"/>
      <c r="AH11" s="99"/>
      <c r="AI11" s="99"/>
      <c r="AJ11" s="99"/>
      <c r="AK11" s="99"/>
      <c r="AL11" s="99"/>
      <c r="AM11" s="99"/>
      <c r="AN11" s="99"/>
    </row>
    <row r="12" spans="2:40" ht="15" customHeight="1" x14ac:dyDescent="0.15">
      <c r="B12" s="100"/>
      <c r="C12" s="107" t="s">
        <v>321</v>
      </c>
      <c r="D12" s="98"/>
      <c r="E12" s="100"/>
      <c r="G12" s="100"/>
      <c r="H12" s="98"/>
      <c r="I12" s="350"/>
      <c r="J12" s="350"/>
      <c r="K12" s="350"/>
      <c r="L12" s="350"/>
      <c r="M12" s="350"/>
      <c r="N12" s="350"/>
      <c r="O12" s="350"/>
      <c r="P12" s="350"/>
      <c r="Q12" s="100"/>
      <c r="R12" s="99"/>
      <c r="S12" s="102"/>
      <c r="T12" s="351"/>
      <c r="U12" s="351"/>
      <c r="V12" s="351"/>
      <c r="W12" s="102"/>
      <c r="X12" s="99"/>
      <c r="Y12" s="99"/>
      <c r="Z12" s="99"/>
      <c r="AA12" s="99"/>
      <c r="AB12" s="99"/>
      <c r="AC12" s="99"/>
      <c r="AD12" s="99"/>
      <c r="AE12" s="99"/>
      <c r="AF12" s="99"/>
      <c r="AG12" s="99"/>
      <c r="AH12" s="99"/>
      <c r="AI12" s="99"/>
      <c r="AJ12" s="99"/>
      <c r="AK12" s="99"/>
      <c r="AL12" s="99"/>
      <c r="AM12" s="99"/>
      <c r="AN12" s="99"/>
    </row>
    <row r="13" spans="2:40" ht="15" customHeight="1" x14ac:dyDescent="0.15">
      <c r="B13" s="100"/>
      <c r="C13" s="107" t="s">
        <v>322</v>
      </c>
      <c r="D13" s="98"/>
      <c r="E13" s="100"/>
      <c r="G13" s="100"/>
      <c r="H13" s="100"/>
      <c r="I13" s="100"/>
      <c r="J13" s="100"/>
      <c r="K13" s="100"/>
      <c r="L13" s="100"/>
      <c r="M13" s="100"/>
      <c r="N13" s="100"/>
      <c r="O13" s="100"/>
      <c r="P13" s="100"/>
      <c r="Q13" s="100"/>
      <c r="R13" s="99"/>
      <c r="S13" s="102"/>
      <c r="T13" s="351"/>
      <c r="U13" s="351"/>
      <c r="V13" s="351"/>
      <c r="W13" s="102"/>
      <c r="X13" s="99"/>
      <c r="Y13" s="99"/>
      <c r="Z13" s="99"/>
      <c r="AA13" s="99"/>
      <c r="AB13" s="99"/>
      <c r="AC13" s="99"/>
      <c r="AD13" s="99"/>
      <c r="AE13" s="99"/>
      <c r="AF13" s="99"/>
      <c r="AG13" s="99"/>
      <c r="AH13" s="99"/>
      <c r="AI13" s="99"/>
      <c r="AJ13" s="99"/>
      <c r="AK13" s="99"/>
      <c r="AL13" s="99"/>
      <c r="AM13" s="99"/>
      <c r="AN13" s="99"/>
    </row>
    <row r="14" spans="2:40" ht="15" customHeight="1" x14ac:dyDescent="0.15">
      <c r="B14" s="100"/>
      <c r="C14" s="107" t="s">
        <v>323</v>
      </c>
      <c r="D14" s="98"/>
      <c r="E14" s="100"/>
      <c r="R14" s="99"/>
      <c r="S14" s="102"/>
      <c r="T14" s="351"/>
      <c r="U14" s="351"/>
      <c r="V14" s="351"/>
      <c r="W14" s="102"/>
      <c r="X14" s="99"/>
      <c r="Y14" s="99"/>
      <c r="Z14" s="99"/>
      <c r="AA14" s="99"/>
      <c r="AB14" s="99"/>
      <c r="AC14" s="99"/>
      <c r="AD14" s="99"/>
      <c r="AE14" s="99"/>
      <c r="AF14" s="99"/>
      <c r="AG14" s="99"/>
      <c r="AH14" s="99"/>
      <c r="AI14" s="99"/>
      <c r="AJ14" s="99"/>
      <c r="AK14" s="99"/>
      <c r="AL14" s="99"/>
      <c r="AM14" s="99"/>
      <c r="AN14" s="99"/>
    </row>
    <row r="15" spans="2:40" ht="15" customHeight="1" x14ac:dyDescent="0.15">
      <c r="B15" s="100"/>
      <c r="C15" s="107" t="s">
        <v>324</v>
      </c>
      <c r="D15" s="98"/>
      <c r="E15" s="100"/>
      <c r="G15" s="95"/>
      <c r="H15" s="138" t="s">
        <v>325</v>
      </c>
      <c r="I15" s="103"/>
      <c r="R15" s="99"/>
      <c r="S15" s="102"/>
      <c r="T15" s="351"/>
      <c r="U15" s="351"/>
      <c r="V15" s="351"/>
      <c r="W15" s="102"/>
      <c r="X15" s="99"/>
      <c r="Y15" s="99"/>
      <c r="Z15" s="99"/>
      <c r="AA15" s="99"/>
      <c r="AD15" s="99"/>
      <c r="AE15" s="99"/>
      <c r="AF15" s="99"/>
      <c r="AG15" s="99"/>
      <c r="AH15" s="99"/>
      <c r="AI15" s="99"/>
      <c r="AJ15" s="99"/>
      <c r="AK15" s="99"/>
      <c r="AL15" s="99"/>
      <c r="AM15" s="99"/>
      <c r="AN15" s="99"/>
    </row>
    <row r="16" spans="2:40" ht="15" customHeight="1" x14ac:dyDescent="0.15">
      <c r="B16" s="100"/>
      <c r="C16" s="108" t="s">
        <v>326</v>
      </c>
      <c r="D16" s="109"/>
      <c r="E16" s="100"/>
      <c r="G16" s="100"/>
      <c r="H16" s="100"/>
      <c r="I16" s="100"/>
      <c r="J16" s="100"/>
      <c r="K16" s="100"/>
      <c r="L16" s="100"/>
      <c r="M16" s="100"/>
      <c r="N16" s="100"/>
      <c r="O16" s="100"/>
      <c r="P16" s="100"/>
      <c r="Q16" s="100"/>
      <c r="R16" s="99"/>
      <c r="S16" s="102"/>
      <c r="T16" s="351"/>
      <c r="U16" s="351"/>
      <c r="V16" s="351"/>
      <c r="W16" s="102"/>
      <c r="X16" s="99"/>
      <c r="Y16" s="99"/>
      <c r="Z16" s="99"/>
      <c r="AA16" s="99"/>
      <c r="AD16" s="99"/>
      <c r="AE16" s="99"/>
      <c r="AF16" s="99"/>
      <c r="AG16" s="99"/>
      <c r="AH16" s="99"/>
      <c r="AI16" s="99"/>
      <c r="AJ16" s="99"/>
      <c r="AK16" s="99"/>
      <c r="AL16" s="99"/>
      <c r="AM16" s="99"/>
      <c r="AN16" s="99"/>
    </row>
    <row r="17" spans="2:40" ht="15" customHeight="1" x14ac:dyDescent="0.15">
      <c r="B17" s="100"/>
      <c r="C17" s="356" t="s">
        <v>327</v>
      </c>
      <c r="D17" s="355"/>
      <c r="E17" s="100"/>
      <c r="G17" s="100"/>
      <c r="H17" s="97" t="s">
        <v>311</v>
      </c>
      <c r="I17" s="354" t="s">
        <v>328</v>
      </c>
      <c r="J17" s="353"/>
      <c r="K17" s="353"/>
      <c r="L17" s="353" t="s">
        <v>313</v>
      </c>
      <c r="M17" s="353"/>
      <c r="N17" s="353"/>
      <c r="O17" s="353"/>
      <c r="P17" s="353"/>
      <c r="Q17" s="100"/>
      <c r="R17" s="99"/>
      <c r="S17" s="102"/>
      <c r="T17" s="351"/>
      <c r="U17" s="351"/>
      <c r="V17" s="351"/>
      <c r="W17" s="102"/>
      <c r="X17" s="99"/>
      <c r="Y17" s="99"/>
      <c r="Z17" s="99"/>
      <c r="AA17" s="99"/>
      <c r="AD17" s="99"/>
      <c r="AE17" s="99"/>
      <c r="AF17" s="99"/>
      <c r="AG17" s="99"/>
      <c r="AH17" s="99"/>
      <c r="AI17" s="99"/>
      <c r="AJ17" s="99"/>
      <c r="AK17" s="99"/>
      <c r="AL17" s="99"/>
      <c r="AM17" s="99"/>
      <c r="AN17" s="99"/>
    </row>
    <row r="18" spans="2:40" ht="15" customHeight="1" x14ac:dyDescent="0.15">
      <c r="B18" s="100"/>
      <c r="C18" s="106" t="s">
        <v>107</v>
      </c>
      <c r="E18" s="100"/>
      <c r="G18" s="100"/>
      <c r="H18" s="98"/>
      <c r="I18" s="350"/>
      <c r="J18" s="350"/>
      <c r="K18" s="350"/>
      <c r="L18" s="350"/>
      <c r="M18" s="350"/>
      <c r="N18" s="350"/>
      <c r="O18" s="350"/>
      <c r="P18" s="350"/>
      <c r="Q18" s="100"/>
      <c r="R18" s="99"/>
      <c r="S18" s="102"/>
      <c r="T18" s="351"/>
      <c r="U18" s="351"/>
      <c r="V18" s="351"/>
      <c r="W18" s="102"/>
      <c r="X18" s="99"/>
      <c r="Y18" s="99"/>
      <c r="Z18" s="99"/>
      <c r="AA18" s="99"/>
      <c r="AD18" s="99"/>
      <c r="AE18" s="99"/>
      <c r="AF18" s="99"/>
      <c r="AG18" s="99"/>
      <c r="AH18" s="99"/>
      <c r="AI18" s="99"/>
      <c r="AJ18" s="99"/>
      <c r="AK18" s="99"/>
      <c r="AL18" s="99"/>
      <c r="AM18" s="99"/>
      <c r="AN18" s="99"/>
    </row>
    <row r="19" spans="2:40" ht="15" customHeight="1" x14ac:dyDescent="0.15">
      <c r="B19" s="100"/>
      <c r="C19" s="107" t="s">
        <v>329</v>
      </c>
      <c r="D19" s="98"/>
      <c r="E19" s="100"/>
      <c r="G19" s="100"/>
      <c r="H19" s="98"/>
      <c r="I19" s="350"/>
      <c r="J19" s="350"/>
      <c r="K19" s="350"/>
      <c r="L19" s="350"/>
      <c r="M19" s="350"/>
      <c r="N19" s="350"/>
      <c r="O19" s="350"/>
      <c r="P19" s="350"/>
      <c r="Q19" s="100"/>
      <c r="R19" s="99"/>
      <c r="S19" s="102"/>
      <c r="T19" s="351"/>
      <c r="U19" s="351"/>
      <c r="V19" s="351"/>
      <c r="W19" s="102"/>
      <c r="X19" s="99"/>
      <c r="Y19" s="99"/>
      <c r="Z19" s="99"/>
      <c r="AA19" s="99"/>
      <c r="AD19" s="99"/>
      <c r="AE19" s="99"/>
      <c r="AF19" s="99"/>
      <c r="AG19" s="99"/>
      <c r="AH19" s="99"/>
      <c r="AI19" s="99"/>
      <c r="AJ19" s="99"/>
      <c r="AK19" s="99"/>
      <c r="AL19" s="99"/>
      <c r="AM19" s="99"/>
      <c r="AN19" s="99"/>
    </row>
    <row r="20" spans="2:40" ht="15" customHeight="1" x14ac:dyDescent="0.15">
      <c r="B20" s="100"/>
      <c r="C20" s="108" t="s">
        <v>330</v>
      </c>
      <c r="D20" s="110"/>
      <c r="E20" s="100"/>
      <c r="G20" s="100"/>
      <c r="H20" s="98"/>
      <c r="I20" s="350"/>
      <c r="J20" s="350"/>
      <c r="K20" s="350"/>
      <c r="L20" s="350"/>
      <c r="M20" s="350"/>
      <c r="N20" s="350"/>
      <c r="O20" s="350"/>
      <c r="P20" s="350"/>
      <c r="Q20" s="100"/>
      <c r="R20" s="99"/>
      <c r="S20" s="102"/>
      <c r="T20" s="351"/>
      <c r="U20" s="351"/>
      <c r="V20" s="351"/>
      <c r="W20" s="102"/>
      <c r="X20" s="99"/>
      <c r="Y20" s="99"/>
      <c r="Z20" s="99"/>
      <c r="AA20" s="99"/>
      <c r="AD20" s="99"/>
      <c r="AE20" s="99"/>
      <c r="AF20" s="99"/>
      <c r="AG20" s="99"/>
      <c r="AH20" s="99"/>
      <c r="AI20" s="99"/>
      <c r="AJ20" s="99"/>
      <c r="AK20" s="99"/>
      <c r="AL20" s="99"/>
      <c r="AM20" s="99"/>
      <c r="AN20" s="99"/>
    </row>
    <row r="21" spans="2:40" ht="15" customHeight="1" x14ac:dyDescent="0.15">
      <c r="B21" s="100"/>
      <c r="C21" s="98"/>
      <c r="D21" s="98"/>
      <c r="E21" s="100"/>
      <c r="G21" s="100"/>
      <c r="H21" s="98"/>
      <c r="I21" s="350"/>
      <c r="J21" s="350"/>
      <c r="K21" s="350"/>
      <c r="L21" s="350"/>
      <c r="M21" s="350"/>
      <c r="N21" s="350"/>
      <c r="O21" s="350"/>
      <c r="P21" s="350"/>
      <c r="Q21" s="100"/>
      <c r="S21" s="100"/>
      <c r="T21" s="351"/>
      <c r="U21" s="351"/>
      <c r="V21" s="351"/>
      <c r="W21" s="100"/>
    </row>
    <row r="22" spans="2:40" ht="15" customHeight="1" x14ac:dyDescent="0.15">
      <c r="B22" s="100"/>
      <c r="C22" s="98"/>
      <c r="D22" s="98"/>
      <c r="E22" s="100"/>
      <c r="G22" s="100"/>
      <c r="H22" s="98"/>
      <c r="I22" s="350"/>
      <c r="J22" s="350"/>
      <c r="K22" s="350"/>
      <c r="L22" s="350"/>
      <c r="M22" s="350"/>
      <c r="N22" s="350"/>
      <c r="O22" s="350"/>
      <c r="P22" s="350"/>
      <c r="Q22" s="100"/>
      <c r="S22" s="100"/>
      <c r="T22" s="351"/>
      <c r="U22" s="351"/>
      <c r="V22" s="351"/>
      <c r="W22" s="100"/>
    </row>
    <row r="23" spans="2:40" ht="15" customHeight="1" x14ac:dyDescent="0.15">
      <c r="B23" s="100"/>
      <c r="C23" s="98"/>
      <c r="D23" s="98"/>
      <c r="E23" s="100"/>
      <c r="G23" s="100"/>
      <c r="H23" s="98"/>
      <c r="I23" s="350"/>
      <c r="J23" s="350"/>
      <c r="K23" s="350"/>
      <c r="L23" s="350"/>
      <c r="M23" s="350"/>
      <c r="N23" s="350"/>
      <c r="O23" s="350"/>
      <c r="P23" s="350"/>
      <c r="Q23" s="100"/>
      <c r="S23" s="100"/>
      <c r="T23" s="351"/>
      <c r="U23" s="351"/>
      <c r="V23" s="351"/>
      <c r="W23" s="100"/>
    </row>
    <row r="24" spans="2:40" ht="15" customHeight="1" x14ac:dyDescent="0.15">
      <c r="B24" s="100"/>
      <c r="C24" s="98"/>
      <c r="D24" s="98"/>
      <c r="E24" s="100"/>
      <c r="G24" s="100"/>
      <c r="H24" s="98"/>
      <c r="I24" s="350"/>
      <c r="J24" s="350"/>
      <c r="K24" s="350"/>
      <c r="L24" s="350"/>
      <c r="M24" s="350"/>
      <c r="N24" s="350"/>
      <c r="O24" s="350"/>
      <c r="P24" s="350"/>
      <c r="Q24" s="100"/>
      <c r="S24" s="100"/>
      <c r="T24" s="351"/>
      <c r="U24" s="351"/>
      <c r="V24" s="351"/>
      <c r="W24" s="100"/>
    </row>
    <row r="25" spans="2:40" ht="15" customHeight="1" x14ac:dyDescent="0.15">
      <c r="B25" s="100"/>
      <c r="C25" s="98"/>
      <c r="D25" s="98"/>
      <c r="E25" s="100"/>
      <c r="G25" s="100"/>
      <c r="H25" s="98"/>
      <c r="I25" s="350"/>
      <c r="J25" s="350"/>
      <c r="K25" s="350"/>
      <c r="L25" s="350"/>
      <c r="M25" s="350"/>
      <c r="N25" s="350"/>
      <c r="O25" s="350"/>
      <c r="P25" s="350"/>
      <c r="Q25" s="100"/>
      <c r="S25" s="100"/>
      <c r="T25" s="351"/>
      <c r="U25" s="351"/>
      <c r="V25" s="351"/>
      <c r="W25" s="100"/>
    </row>
    <row r="26" spans="2:40" ht="15" customHeight="1" x14ac:dyDescent="0.15">
      <c r="B26" s="100"/>
      <c r="C26" s="355" t="s">
        <v>331</v>
      </c>
      <c r="D26" s="355"/>
      <c r="E26" s="100"/>
      <c r="G26" s="100"/>
      <c r="H26" s="100"/>
      <c r="I26" s="100"/>
      <c r="J26" s="100"/>
      <c r="K26" s="100"/>
      <c r="L26" s="100"/>
      <c r="M26" s="100"/>
      <c r="N26" s="100"/>
      <c r="O26" s="100"/>
      <c r="P26" s="100"/>
      <c r="Q26" s="100"/>
      <c r="S26" s="100"/>
      <c r="T26" s="351"/>
      <c r="U26" s="351"/>
      <c r="V26" s="351"/>
      <c r="W26" s="100"/>
    </row>
    <row r="27" spans="2:40" ht="15" customHeight="1" x14ac:dyDescent="0.15">
      <c r="B27" s="100"/>
      <c r="C27" s="350"/>
      <c r="D27" s="350"/>
      <c r="E27" s="100"/>
      <c r="S27" s="100"/>
      <c r="T27" s="351"/>
      <c r="U27" s="351"/>
      <c r="V27" s="351"/>
      <c r="W27" s="100"/>
    </row>
    <row r="28" spans="2:40" ht="15" customHeight="1" x14ac:dyDescent="0.15">
      <c r="B28" s="100"/>
      <c r="C28" s="350"/>
      <c r="D28" s="350"/>
      <c r="E28" s="100"/>
      <c r="G28" s="95"/>
      <c r="H28" s="138" t="s">
        <v>332</v>
      </c>
      <c r="I28" s="103"/>
      <c r="S28" s="100"/>
      <c r="T28" s="351"/>
      <c r="U28" s="351"/>
      <c r="V28" s="351"/>
      <c r="W28" s="100"/>
    </row>
    <row r="29" spans="2:40" ht="15" customHeight="1" x14ac:dyDescent="0.15">
      <c r="B29" s="100"/>
      <c r="C29" s="350"/>
      <c r="D29" s="350"/>
      <c r="E29" s="100"/>
      <c r="G29" s="100"/>
      <c r="H29" s="100"/>
      <c r="I29" s="100"/>
      <c r="J29" s="100"/>
      <c r="K29" s="100"/>
      <c r="L29" s="100"/>
      <c r="M29" s="100"/>
      <c r="N29" s="100"/>
      <c r="O29" s="100"/>
      <c r="P29" s="100"/>
      <c r="Q29" s="100"/>
      <c r="S29" s="100"/>
      <c r="T29" s="351"/>
      <c r="U29" s="351"/>
      <c r="V29" s="351"/>
      <c r="W29" s="100"/>
    </row>
    <row r="30" spans="2:40" ht="15" customHeight="1" x14ac:dyDescent="0.15">
      <c r="B30" s="100"/>
      <c r="C30" s="350"/>
      <c r="D30" s="350"/>
      <c r="E30" s="100"/>
      <c r="G30" s="100"/>
      <c r="H30" s="352"/>
      <c r="I30" s="255"/>
      <c r="J30" s="255"/>
      <c r="K30" s="255"/>
      <c r="L30" s="255"/>
      <c r="M30" s="255"/>
      <c r="N30" s="255"/>
      <c r="O30" s="255"/>
      <c r="P30" s="255"/>
      <c r="Q30" s="100"/>
      <c r="S30" s="100"/>
      <c r="T30" s="351"/>
      <c r="U30" s="351"/>
      <c r="V30" s="351"/>
      <c r="W30" s="100"/>
    </row>
    <row r="31" spans="2:40" ht="15" customHeight="1" x14ac:dyDescent="0.15">
      <c r="B31" s="100"/>
      <c r="C31" s="350"/>
      <c r="D31" s="350"/>
      <c r="E31" s="100"/>
      <c r="G31" s="100"/>
      <c r="H31" s="255"/>
      <c r="I31" s="255"/>
      <c r="J31" s="255"/>
      <c r="K31" s="255"/>
      <c r="L31" s="255"/>
      <c r="M31" s="255"/>
      <c r="N31" s="255"/>
      <c r="O31" s="255"/>
      <c r="P31" s="255"/>
      <c r="Q31" s="100"/>
      <c r="S31" s="100"/>
      <c r="T31" s="351"/>
      <c r="U31" s="351"/>
      <c r="V31" s="351"/>
      <c r="W31" s="100"/>
    </row>
    <row r="32" spans="2:40" ht="15" customHeight="1" x14ac:dyDescent="0.15">
      <c r="B32" s="100"/>
      <c r="C32" s="350"/>
      <c r="D32" s="350"/>
      <c r="E32" s="100"/>
      <c r="G32" s="100"/>
      <c r="H32" s="255"/>
      <c r="I32" s="255"/>
      <c r="J32" s="255"/>
      <c r="K32" s="255"/>
      <c r="L32" s="255"/>
      <c r="M32" s="255"/>
      <c r="N32" s="255"/>
      <c r="O32" s="255"/>
      <c r="P32" s="255"/>
      <c r="Q32" s="100"/>
      <c r="S32" s="100"/>
      <c r="T32" s="351"/>
      <c r="U32" s="351"/>
      <c r="V32" s="351"/>
      <c r="W32" s="100"/>
    </row>
    <row r="33" spans="2:23" ht="15" customHeight="1" x14ac:dyDescent="0.15">
      <c r="B33" s="100"/>
      <c r="C33" s="350"/>
      <c r="D33" s="350"/>
      <c r="E33" s="100"/>
      <c r="G33" s="100"/>
      <c r="H33" s="255"/>
      <c r="I33" s="255"/>
      <c r="J33" s="255"/>
      <c r="K33" s="255"/>
      <c r="L33" s="255"/>
      <c r="M33" s="255"/>
      <c r="N33" s="255"/>
      <c r="O33" s="255"/>
      <c r="P33" s="255"/>
      <c r="Q33" s="100"/>
      <c r="S33" s="100"/>
      <c r="T33" s="351"/>
      <c r="U33" s="351"/>
      <c r="V33" s="351"/>
      <c r="W33" s="100"/>
    </row>
    <row r="34" spans="2:23" ht="15" customHeight="1" x14ac:dyDescent="0.15">
      <c r="B34" s="100"/>
      <c r="C34" s="350"/>
      <c r="D34" s="350"/>
      <c r="E34" s="100"/>
      <c r="G34" s="100"/>
      <c r="H34" s="255"/>
      <c r="I34" s="255"/>
      <c r="J34" s="255"/>
      <c r="K34" s="255"/>
      <c r="L34" s="255"/>
      <c r="M34" s="255"/>
      <c r="N34" s="255"/>
      <c r="O34" s="255"/>
      <c r="P34" s="255"/>
      <c r="Q34" s="100"/>
      <c r="S34" s="100"/>
      <c r="T34" s="351"/>
      <c r="U34" s="351"/>
      <c r="V34" s="351"/>
      <c r="W34" s="100"/>
    </row>
    <row r="35" spans="2:23" ht="15" customHeight="1" x14ac:dyDescent="0.15">
      <c r="B35" s="100"/>
      <c r="C35" s="350"/>
      <c r="D35" s="350"/>
      <c r="E35" s="100"/>
      <c r="G35" s="100"/>
      <c r="H35" s="255"/>
      <c r="I35" s="255"/>
      <c r="J35" s="255"/>
      <c r="K35" s="255"/>
      <c r="L35" s="255"/>
      <c r="M35" s="255"/>
      <c r="N35" s="255"/>
      <c r="O35" s="255"/>
      <c r="P35" s="255"/>
      <c r="Q35" s="100"/>
      <c r="S35" s="100"/>
      <c r="T35" s="351"/>
      <c r="U35" s="351"/>
      <c r="V35" s="351"/>
      <c r="W35" s="100"/>
    </row>
    <row r="36" spans="2:23" ht="15" customHeight="1" x14ac:dyDescent="0.15">
      <c r="B36" s="100"/>
      <c r="C36" s="350"/>
      <c r="D36" s="350"/>
      <c r="E36" s="100"/>
      <c r="G36" s="100"/>
      <c r="H36" s="255"/>
      <c r="I36" s="255"/>
      <c r="J36" s="255"/>
      <c r="K36" s="255"/>
      <c r="L36" s="255"/>
      <c r="M36" s="255"/>
      <c r="N36" s="255"/>
      <c r="O36" s="255"/>
      <c r="P36" s="255"/>
      <c r="Q36" s="100"/>
      <c r="S36" s="100"/>
      <c r="T36" s="351"/>
      <c r="U36" s="351"/>
      <c r="V36" s="351"/>
      <c r="W36" s="100"/>
    </row>
    <row r="37" spans="2:23" ht="15" customHeight="1" x14ac:dyDescent="0.15">
      <c r="B37" s="100"/>
      <c r="C37" s="350"/>
      <c r="D37" s="350"/>
      <c r="E37" s="100"/>
      <c r="G37" s="100"/>
      <c r="H37" s="255"/>
      <c r="I37" s="255"/>
      <c r="J37" s="255"/>
      <c r="K37" s="255"/>
      <c r="L37" s="255"/>
      <c r="M37" s="255"/>
      <c r="N37" s="255"/>
      <c r="O37" s="255"/>
      <c r="P37" s="255"/>
      <c r="Q37" s="100"/>
      <c r="S37" s="100"/>
      <c r="T37" s="351"/>
      <c r="U37" s="351"/>
      <c r="V37" s="351"/>
      <c r="W37" s="100"/>
    </row>
    <row r="38" spans="2:23" ht="15" customHeight="1" x14ac:dyDescent="0.15">
      <c r="B38" s="100"/>
      <c r="C38" s="100"/>
      <c r="D38" s="100"/>
      <c r="E38" s="100"/>
      <c r="G38" s="100"/>
      <c r="H38" s="100"/>
      <c r="I38" s="100"/>
      <c r="J38" s="100"/>
      <c r="K38" s="100"/>
      <c r="L38" s="100"/>
      <c r="M38" s="100"/>
      <c r="N38" s="100"/>
      <c r="O38" s="100"/>
      <c r="P38" s="100"/>
      <c r="Q38" s="100"/>
      <c r="S38" s="100"/>
      <c r="T38" s="100"/>
      <c r="U38" s="100"/>
      <c r="V38" s="100"/>
      <c r="W38" s="100"/>
    </row>
    <row r="40" spans="2:23" ht="15" customHeight="1" x14ac:dyDescent="0.15">
      <c r="B40" s="95"/>
      <c r="C40" s="111" t="s">
        <v>586</v>
      </c>
      <c r="D40" s="103"/>
    </row>
    <row r="41" spans="2:23" ht="15" customHeight="1" x14ac:dyDescent="0.15">
      <c r="B41" s="100"/>
      <c r="C41" s="100"/>
      <c r="D41" s="100"/>
      <c r="E41" s="100"/>
      <c r="F41" s="100"/>
      <c r="G41" s="100"/>
      <c r="H41" s="100"/>
      <c r="I41" s="100"/>
      <c r="J41" s="100"/>
      <c r="K41" s="100"/>
      <c r="L41" s="100"/>
      <c r="M41" s="100"/>
      <c r="N41" s="100"/>
      <c r="O41" s="100"/>
      <c r="P41" s="100"/>
      <c r="Q41" s="100"/>
      <c r="R41" s="100"/>
      <c r="S41" s="100"/>
      <c r="T41" s="100"/>
      <c r="U41" s="100"/>
      <c r="V41" s="100"/>
      <c r="W41" s="100"/>
    </row>
    <row r="42" spans="2:23" ht="15" customHeight="1" x14ac:dyDescent="0.15">
      <c r="B42" s="100"/>
      <c r="C42" s="97" t="s">
        <v>311</v>
      </c>
      <c r="D42" s="96" t="s">
        <v>333</v>
      </c>
      <c r="E42" s="353" t="s">
        <v>334</v>
      </c>
      <c r="F42" s="353"/>
      <c r="G42" s="353"/>
      <c r="H42" s="353"/>
      <c r="I42" s="353"/>
      <c r="J42" s="354" t="s">
        <v>335</v>
      </c>
      <c r="K42" s="353"/>
      <c r="L42" s="353"/>
      <c r="M42" s="354" t="s">
        <v>336</v>
      </c>
      <c r="N42" s="353"/>
      <c r="O42" s="353"/>
      <c r="P42" s="354" t="s">
        <v>313</v>
      </c>
      <c r="Q42" s="353"/>
      <c r="R42" s="353"/>
      <c r="S42" s="353"/>
      <c r="T42" s="353"/>
      <c r="U42" s="353"/>
      <c r="V42" s="353"/>
      <c r="W42" s="100"/>
    </row>
    <row r="43" spans="2:23" ht="15" customHeight="1" x14ac:dyDescent="0.15">
      <c r="B43" s="100"/>
      <c r="C43" s="98"/>
      <c r="D43" s="98"/>
      <c r="E43" s="350"/>
      <c r="F43" s="350"/>
      <c r="G43" s="350"/>
      <c r="H43" s="350"/>
      <c r="I43" s="350"/>
      <c r="J43" s="350"/>
      <c r="K43" s="350"/>
      <c r="L43" s="350"/>
      <c r="M43" s="350"/>
      <c r="N43" s="350"/>
      <c r="O43" s="350"/>
      <c r="P43" s="350"/>
      <c r="Q43" s="350"/>
      <c r="R43" s="350"/>
      <c r="S43" s="350"/>
      <c r="T43" s="350"/>
      <c r="U43" s="350"/>
      <c r="V43" s="350"/>
      <c r="W43" s="100"/>
    </row>
    <row r="44" spans="2:23" ht="15" customHeight="1" x14ac:dyDescent="0.15">
      <c r="B44" s="100"/>
      <c r="C44" s="98"/>
      <c r="D44" s="98"/>
      <c r="E44" s="350"/>
      <c r="F44" s="350"/>
      <c r="G44" s="350"/>
      <c r="H44" s="350"/>
      <c r="I44" s="350"/>
      <c r="J44" s="350"/>
      <c r="K44" s="350"/>
      <c r="L44" s="350"/>
      <c r="M44" s="350"/>
      <c r="N44" s="350"/>
      <c r="O44" s="350"/>
      <c r="P44" s="350"/>
      <c r="Q44" s="350"/>
      <c r="R44" s="350"/>
      <c r="S44" s="350"/>
      <c r="T44" s="350"/>
      <c r="U44" s="350"/>
      <c r="V44" s="350"/>
      <c r="W44" s="100"/>
    </row>
    <row r="45" spans="2:23" ht="15" customHeight="1" x14ac:dyDescent="0.15">
      <c r="B45" s="100"/>
      <c r="C45" s="98"/>
      <c r="D45" s="98"/>
      <c r="E45" s="350"/>
      <c r="F45" s="350"/>
      <c r="G45" s="350"/>
      <c r="H45" s="350"/>
      <c r="I45" s="350"/>
      <c r="J45" s="350"/>
      <c r="K45" s="350"/>
      <c r="L45" s="350"/>
      <c r="M45" s="350"/>
      <c r="N45" s="350"/>
      <c r="O45" s="350"/>
      <c r="P45" s="350"/>
      <c r="Q45" s="350"/>
      <c r="R45" s="350"/>
      <c r="S45" s="350"/>
      <c r="T45" s="350"/>
      <c r="U45" s="350"/>
      <c r="V45" s="350"/>
      <c r="W45" s="100"/>
    </row>
    <row r="46" spans="2:23" ht="15" customHeight="1" x14ac:dyDescent="0.15">
      <c r="B46" s="100"/>
      <c r="C46" s="98"/>
      <c r="D46" s="98"/>
      <c r="E46" s="350"/>
      <c r="F46" s="350"/>
      <c r="G46" s="350"/>
      <c r="H46" s="350"/>
      <c r="I46" s="350"/>
      <c r="J46" s="350"/>
      <c r="K46" s="350"/>
      <c r="L46" s="350"/>
      <c r="M46" s="350"/>
      <c r="N46" s="350"/>
      <c r="O46" s="350"/>
      <c r="P46" s="350"/>
      <c r="Q46" s="350"/>
      <c r="R46" s="350"/>
      <c r="S46" s="350"/>
      <c r="T46" s="350"/>
      <c r="U46" s="350"/>
      <c r="V46" s="350"/>
      <c r="W46" s="100"/>
    </row>
    <row r="47" spans="2:23" ht="15" customHeight="1" x14ac:dyDescent="0.15">
      <c r="B47" s="100"/>
      <c r="C47" s="98"/>
      <c r="D47" s="98"/>
      <c r="E47" s="350"/>
      <c r="F47" s="350"/>
      <c r="G47" s="350"/>
      <c r="H47" s="350"/>
      <c r="I47" s="350"/>
      <c r="J47" s="350"/>
      <c r="K47" s="350"/>
      <c r="L47" s="350"/>
      <c r="M47" s="350"/>
      <c r="N47" s="350"/>
      <c r="O47" s="350"/>
      <c r="P47" s="350"/>
      <c r="Q47" s="350"/>
      <c r="R47" s="350"/>
      <c r="S47" s="350"/>
      <c r="T47" s="350"/>
      <c r="U47" s="350"/>
      <c r="V47" s="350"/>
      <c r="W47" s="100"/>
    </row>
    <row r="48" spans="2:23" ht="15" customHeight="1" x14ac:dyDescent="0.15">
      <c r="B48" s="100"/>
      <c r="C48" s="98"/>
      <c r="D48" s="98"/>
      <c r="E48" s="350"/>
      <c r="F48" s="350"/>
      <c r="G48" s="350"/>
      <c r="H48" s="350"/>
      <c r="I48" s="350"/>
      <c r="J48" s="350"/>
      <c r="K48" s="350"/>
      <c r="L48" s="350"/>
      <c r="M48" s="350"/>
      <c r="N48" s="350"/>
      <c r="O48" s="350"/>
      <c r="P48" s="350"/>
      <c r="Q48" s="350"/>
      <c r="R48" s="350"/>
      <c r="S48" s="350"/>
      <c r="T48" s="350"/>
      <c r="U48" s="350"/>
      <c r="V48" s="350"/>
      <c r="W48" s="100"/>
    </row>
    <row r="49" spans="2:23" ht="15" customHeight="1" x14ac:dyDescent="0.15">
      <c r="B49" s="100"/>
      <c r="C49" s="98"/>
      <c r="D49" s="98"/>
      <c r="E49" s="350"/>
      <c r="F49" s="350"/>
      <c r="G49" s="350"/>
      <c r="H49" s="350"/>
      <c r="I49" s="350"/>
      <c r="J49" s="350"/>
      <c r="K49" s="350"/>
      <c r="L49" s="350"/>
      <c r="M49" s="350"/>
      <c r="N49" s="350"/>
      <c r="O49" s="350"/>
      <c r="P49" s="350"/>
      <c r="Q49" s="350"/>
      <c r="R49" s="350"/>
      <c r="S49" s="350"/>
      <c r="T49" s="350"/>
      <c r="U49" s="350"/>
      <c r="V49" s="350"/>
      <c r="W49" s="100"/>
    </row>
    <row r="50" spans="2:23" ht="15" customHeight="1" x14ac:dyDescent="0.15">
      <c r="B50" s="100"/>
      <c r="C50" s="98"/>
      <c r="D50" s="98"/>
      <c r="E50" s="350"/>
      <c r="F50" s="350"/>
      <c r="G50" s="350"/>
      <c r="H50" s="350"/>
      <c r="I50" s="350"/>
      <c r="J50" s="350"/>
      <c r="K50" s="350"/>
      <c r="L50" s="350"/>
      <c r="M50" s="350"/>
      <c r="N50" s="350"/>
      <c r="O50" s="350"/>
      <c r="P50" s="350"/>
      <c r="Q50" s="350"/>
      <c r="R50" s="350"/>
      <c r="S50" s="350"/>
      <c r="T50" s="350"/>
      <c r="U50" s="350"/>
      <c r="V50" s="350"/>
      <c r="W50" s="100"/>
    </row>
    <row r="51" spans="2:23" ht="15" customHeight="1" x14ac:dyDescent="0.15">
      <c r="B51" s="100"/>
      <c r="C51" s="100"/>
      <c r="D51" s="100"/>
      <c r="E51" s="100"/>
      <c r="F51" s="100"/>
      <c r="G51" s="100"/>
      <c r="H51" s="100"/>
      <c r="I51" s="100"/>
      <c r="J51" s="100"/>
      <c r="K51" s="100"/>
      <c r="L51" s="100"/>
      <c r="M51" s="100"/>
      <c r="N51" s="100"/>
      <c r="O51" s="100"/>
      <c r="P51" s="100"/>
      <c r="Q51" s="100"/>
      <c r="R51" s="100"/>
      <c r="S51" s="100"/>
      <c r="T51" s="100"/>
      <c r="U51" s="100"/>
      <c r="V51" s="100"/>
      <c r="W51" s="100"/>
    </row>
  </sheetData>
  <mergeCells count="79">
    <mergeCell ref="C4:D4"/>
    <mergeCell ref="I4:K4"/>
    <mergeCell ref="L4:P4"/>
    <mergeCell ref="I5:K5"/>
    <mergeCell ref="L5:P5"/>
    <mergeCell ref="I6:K6"/>
    <mergeCell ref="L6:P6"/>
    <mergeCell ref="I7:K7"/>
    <mergeCell ref="L7:P7"/>
    <mergeCell ref="I8:K8"/>
    <mergeCell ref="L8:P8"/>
    <mergeCell ref="I9:K9"/>
    <mergeCell ref="L9:P9"/>
    <mergeCell ref="C10:D10"/>
    <mergeCell ref="I10:K10"/>
    <mergeCell ref="L10:P10"/>
    <mergeCell ref="I11:K11"/>
    <mergeCell ref="L11:P11"/>
    <mergeCell ref="I12:K12"/>
    <mergeCell ref="L12:P12"/>
    <mergeCell ref="C17:D17"/>
    <mergeCell ref="I17:K17"/>
    <mergeCell ref="L17:P17"/>
    <mergeCell ref="I18:K18"/>
    <mergeCell ref="L18:P18"/>
    <mergeCell ref="I19:K19"/>
    <mergeCell ref="L19:P19"/>
    <mergeCell ref="I20:K20"/>
    <mergeCell ref="L20:P20"/>
    <mergeCell ref="I21:K21"/>
    <mergeCell ref="L21:P21"/>
    <mergeCell ref="I22:K22"/>
    <mergeCell ref="L22:P22"/>
    <mergeCell ref="I23:K23"/>
    <mergeCell ref="L23:P23"/>
    <mergeCell ref="I24:K24"/>
    <mergeCell ref="L24:P24"/>
    <mergeCell ref="I25:K25"/>
    <mergeCell ref="L25:P25"/>
    <mergeCell ref="C26:D26"/>
    <mergeCell ref="E42:I42"/>
    <mergeCell ref="J42:L42"/>
    <mergeCell ref="M42:O42"/>
    <mergeCell ref="P42:V42"/>
    <mergeCell ref="E43:I43"/>
    <mergeCell ref="J43:L43"/>
    <mergeCell ref="M43:O43"/>
    <mergeCell ref="P43:V43"/>
    <mergeCell ref="E44:I44"/>
    <mergeCell ref="J44:L44"/>
    <mergeCell ref="M44:O44"/>
    <mergeCell ref="P44:V44"/>
    <mergeCell ref="E45:I45"/>
    <mergeCell ref="J45:L45"/>
    <mergeCell ref="M45:O45"/>
    <mergeCell ref="P45:V45"/>
    <mergeCell ref="J46:L46"/>
    <mergeCell ref="M46:O46"/>
    <mergeCell ref="P46:V46"/>
    <mergeCell ref="E47:I47"/>
    <mergeCell ref="J47:L47"/>
    <mergeCell ref="M47:O47"/>
    <mergeCell ref="P47:V47"/>
    <mergeCell ref="E50:I50"/>
    <mergeCell ref="J50:L50"/>
    <mergeCell ref="M50:O50"/>
    <mergeCell ref="P50:V50"/>
    <mergeCell ref="C27:D37"/>
    <mergeCell ref="T4:V37"/>
    <mergeCell ref="H30:P37"/>
    <mergeCell ref="E48:I48"/>
    <mergeCell ref="J48:L48"/>
    <mergeCell ref="M48:O48"/>
    <mergeCell ref="P48:V48"/>
    <mergeCell ref="E49:I49"/>
    <mergeCell ref="J49:L49"/>
    <mergeCell ref="M49:O49"/>
    <mergeCell ref="P49:V49"/>
    <mergeCell ref="E46:I46"/>
  </mergeCells>
  <phoneticPr fontId="33"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0"/>
  <sheetViews>
    <sheetView workbookViewId="0">
      <selection activeCell="E19" sqref="E19"/>
    </sheetView>
  </sheetViews>
  <sheetFormatPr defaultColWidth="8.75" defaultRowHeight="13.5" x14ac:dyDescent="0.15"/>
  <cols>
    <col min="1" max="2" width="20.625" style="68" customWidth="1"/>
    <col min="3" max="4" width="8.625" style="68" customWidth="1"/>
    <col min="5" max="5" width="140.625" style="68" customWidth="1"/>
    <col min="6" max="7" width="10.625" style="68" customWidth="1"/>
    <col min="8" max="8" width="15.125" style="68" bestFit="1" customWidth="1"/>
    <col min="9" max="16384" width="8.75" style="68"/>
  </cols>
  <sheetData>
    <row r="1" spans="1:8" ht="15" customHeight="1" x14ac:dyDescent="0.15">
      <c r="A1" s="78" t="s">
        <v>237</v>
      </c>
      <c r="B1" s="78"/>
      <c r="C1" s="78"/>
      <c r="D1" s="78"/>
      <c r="E1" s="78"/>
      <c r="F1" s="78"/>
      <c r="G1" s="78"/>
    </row>
    <row r="2" spans="1:8" ht="15" customHeight="1" x14ac:dyDescent="0.15">
      <c r="A2" s="4" t="s">
        <v>238</v>
      </c>
      <c r="B2" s="4" t="s">
        <v>239</v>
      </c>
      <c r="C2" s="4" t="s">
        <v>240</v>
      </c>
      <c r="D2" s="4" t="s">
        <v>241</v>
      </c>
      <c r="E2" s="4" t="s">
        <v>34</v>
      </c>
      <c r="F2" s="4" t="s">
        <v>222</v>
      </c>
      <c r="G2" s="4" t="s">
        <v>560</v>
      </c>
    </row>
    <row r="3" spans="1:8" ht="60" customHeight="1" x14ac:dyDescent="0.15">
      <c r="A3" s="85" t="s">
        <v>557</v>
      </c>
      <c r="B3" s="85"/>
      <c r="C3" s="85"/>
      <c r="D3" s="85"/>
      <c r="E3" s="85" t="s">
        <v>558</v>
      </c>
      <c r="F3" s="85" t="s">
        <v>559</v>
      </c>
      <c r="G3" s="85">
        <v>400</v>
      </c>
      <c r="H3" s="83" t="s">
        <v>546</v>
      </c>
    </row>
    <row r="4" spans="1:8" ht="60" customHeight="1" x14ac:dyDescent="0.15">
      <c r="A4" s="85"/>
      <c r="B4" s="85"/>
      <c r="C4" s="85"/>
      <c r="D4" s="85"/>
      <c r="E4" s="85"/>
      <c r="F4" s="85"/>
      <c r="G4" s="85"/>
    </row>
    <row r="5" spans="1:8" ht="60" customHeight="1" x14ac:dyDescent="0.15">
      <c r="A5" s="85"/>
      <c r="B5" s="85"/>
      <c r="C5" s="85"/>
      <c r="D5" s="85"/>
      <c r="E5" s="85"/>
      <c r="F5" s="85"/>
      <c r="G5" s="85"/>
    </row>
    <row r="6" spans="1:8" ht="15" customHeight="1" x14ac:dyDescent="0.15">
      <c r="A6" s="5" t="s">
        <v>243</v>
      </c>
      <c r="B6" s="5"/>
      <c r="C6" s="5"/>
      <c r="D6" s="5"/>
      <c r="E6" s="5" t="s">
        <v>244</v>
      </c>
      <c r="F6" s="5"/>
      <c r="G6" s="5"/>
    </row>
    <row r="7" spans="1:8" ht="15" customHeight="1" x14ac:dyDescent="0.15">
      <c r="A7" s="6" t="s">
        <v>245</v>
      </c>
      <c r="B7" s="6" t="s">
        <v>246</v>
      </c>
      <c r="C7" s="6" t="s">
        <v>247</v>
      </c>
      <c r="D7" s="6" t="s">
        <v>248</v>
      </c>
      <c r="E7" s="6" t="s">
        <v>34</v>
      </c>
      <c r="F7" s="6" t="s">
        <v>249</v>
      </c>
      <c r="G7" s="6" t="s">
        <v>250</v>
      </c>
    </row>
    <row r="8" spans="1:8" ht="60" customHeight="1" x14ac:dyDescent="0.15">
      <c r="A8" s="79"/>
      <c r="B8" s="79" t="s">
        <v>251</v>
      </c>
      <c r="C8" s="79" t="s">
        <v>252</v>
      </c>
      <c r="D8" s="79"/>
      <c r="E8" s="79"/>
      <c r="F8" s="79"/>
      <c r="G8" s="79"/>
    </row>
    <row r="9" spans="1:8" ht="60" customHeight="1" x14ac:dyDescent="0.15">
      <c r="A9" s="79" t="s">
        <v>551</v>
      </c>
      <c r="B9" s="79" t="s">
        <v>552</v>
      </c>
      <c r="C9" s="79" t="s">
        <v>553</v>
      </c>
      <c r="D9" s="79" t="s">
        <v>554</v>
      </c>
      <c r="E9" s="79" t="s">
        <v>555</v>
      </c>
      <c r="F9" s="79">
        <v>7</v>
      </c>
      <c r="G9" s="79" t="s">
        <v>556</v>
      </c>
      <c r="H9" s="83" t="s">
        <v>547</v>
      </c>
    </row>
    <row r="10" spans="1:8" ht="60" customHeight="1" x14ac:dyDescent="0.15">
      <c r="A10" s="79"/>
      <c r="B10" s="79"/>
      <c r="C10" s="79"/>
      <c r="D10" s="79"/>
      <c r="E10" s="79"/>
      <c r="F10" s="79"/>
      <c r="G10" s="79"/>
    </row>
    <row r="11" spans="1:8" s="81" customFormat="1" ht="15" customHeight="1" x14ac:dyDescent="0.15">
      <c r="A11" s="80" t="s">
        <v>253</v>
      </c>
      <c r="B11" s="80"/>
      <c r="C11" s="80"/>
      <c r="D11" s="80"/>
      <c r="E11" s="80" t="s">
        <v>254</v>
      </c>
      <c r="F11" s="80"/>
      <c r="G11" s="80"/>
    </row>
    <row r="12" spans="1:8" s="82" customFormat="1" ht="15" customHeight="1" x14ac:dyDescent="0.15">
      <c r="A12" s="7" t="s">
        <v>245</v>
      </c>
      <c r="B12" s="7" t="s">
        <v>541</v>
      </c>
      <c r="C12" s="7" t="s">
        <v>255</v>
      </c>
      <c r="D12" s="7" t="s">
        <v>256</v>
      </c>
      <c r="E12" s="7" t="s">
        <v>34</v>
      </c>
      <c r="F12" s="7" t="s">
        <v>242</v>
      </c>
      <c r="G12" s="7"/>
    </row>
    <row r="13" spans="1:8" ht="50.1" customHeight="1" x14ac:dyDescent="0.15">
      <c r="A13" s="86" t="s">
        <v>542</v>
      </c>
      <c r="B13" s="86" t="s">
        <v>543</v>
      </c>
      <c r="C13" s="86">
        <v>1</v>
      </c>
      <c r="D13" s="86">
        <v>1</v>
      </c>
      <c r="E13" s="86" t="s">
        <v>544</v>
      </c>
      <c r="F13" s="86" t="s">
        <v>545</v>
      </c>
      <c r="G13" s="86"/>
      <c r="H13" s="83" t="s">
        <v>547</v>
      </c>
    </row>
    <row r="14" spans="1:8" ht="50.1" customHeight="1" x14ac:dyDescent="0.15">
      <c r="A14" s="86"/>
      <c r="B14" s="86"/>
      <c r="C14" s="86"/>
      <c r="D14" s="86"/>
      <c r="E14" s="86"/>
      <c r="F14" s="86"/>
      <c r="G14" s="86"/>
    </row>
    <row r="15" spans="1:8" ht="50.1" customHeight="1" x14ac:dyDescent="0.15">
      <c r="A15" s="86"/>
      <c r="B15" s="86"/>
      <c r="C15" s="86"/>
      <c r="D15" s="86"/>
      <c r="E15" s="86"/>
      <c r="F15" s="86"/>
      <c r="G15" s="86"/>
    </row>
    <row r="16" spans="1:8" s="84" customFormat="1" ht="15" customHeight="1" x14ac:dyDescent="0.15">
      <c r="A16" s="8" t="s">
        <v>257</v>
      </c>
      <c r="B16" s="8"/>
      <c r="C16" s="8"/>
      <c r="D16" s="8"/>
      <c r="E16" s="8" t="s">
        <v>258</v>
      </c>
      <c r="F16" s="8"/>
      <c r="G16" s="8"/>
    </row>
    <row r="17" spans="1:8" ht="15" customHeight="1" x14ac:dyDescent="0.15">
      <c r="A17" s="9" t="s">
        <v>259</v>
      </c>
      <c r="B17" s="9" t="s">
        <v>260</v>
      </c>
      <c r="C17" s="9" t="s">
        <v>255</v>
      </c>
      <c r="D17" s="9" t="s">
        <v>256</v>
      </c>
      <c r="E17" s="9" t="s">
        <v>157</v>
      </c>
      <c r="F17" s="9" t="s">
        <v>242</v>
      </c>
      <c r="G17" s="9" t="s">
        <v>222</v>
      </c>
    </row>
    <row r="18" spans="1:8" ht="60" customHeight="1" x14ac:dyDescent="0.15">
      <c r="A18" s="87" t="s">
        <v>548</v>
      </c>
      <c r="B18" s="87" t="s">
        <v>549</v>
      </c>
      <c r="C18" s="87">
        <v>1</v>
      </c>
      <c r="D18" s="87">
        <v>0</v>
      </c>
      <c r="E18" s="87" t="s">
        <v>550</v>
      </c>
      <c r="F18" s="87" t="s">
        <v>545</v>
      </c>
      <c r="G18" s="87" t="s">
        <v>543</v>
      </c>
      <c r="H18" s="83" t="s">
        <v>547</v>
      </c>
    </row>
    <row r="19" spans="1:8" ht="60" customHeight="1" x14ac:dyDescent="0.15">
      <c r="A19" s="87"/>
      <c r="B19" s="87"/>
      <c r="C19" s="87"/>
      <c r="D19" s="87"/>
      <c r="E19" s="87"/>
      <c r="F19" s="87"/>
      <c r="G19" s="87"/>
    </row>
    <row r="20" spans="1:8" ht="60" customHeight="1" x14ac:dyDescent="0.15">
      <c r="A20" s="87"/>
      <c r="B20" s="87"/>
      <c r="C20" s="87"/>
      <c r="D20" s="87"/>
      <c r="E20" s="87"/>
      <c r="F20" s="87"/>
      <c r="G20" s="87"/>
    </row>
  </sheetData>
  <phoneticPr fontId="33"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39FB6-090E-4F2F-B915-E4733EC1E40F}">
  <dimension ref="B1:AA33"/>
  <sheetViews>
    <sheetView workbookViewId="0">
      <selection activeCell="D20" sqref="D20:M20"/>
    </sheetView>
  </sheetViews>
  <sheetFormatPr defaultRowHeight="15" customHeight="1" x14ac:dyDescent="0.15"/>
  <cols>
    <col min="1" max="2" width="2.625" style="89" customWidth="1"/>
    <col min="3" max="3" width="25.625" style="89" customWidth="1"/>
    <col min="4" max="8" width="10.625" style="89" customWidth="1"/>
    <col min="9" max="9" width="15.625" style="89" customWidth="1"/>
    <col min="10" max="14" width="10.625" style="89" customWidth="1"/>
    <col min="15" max="15" width="2.625" style="89" customWidth="1"/>
    <col min="16" max="16" width="25.625" style="89" customWidth="1"/>
    <col min="17" max="17" width="15.625" style="89" customWidth="1"/>
    <col min="18" max="22" width="10.625" style="89" customWidth="1"/>
    <col min="23" max="23" width="23" style="89" customWidth="1"/>
    <col min="24" max="26" width="10.625" style="89" customWidth="1"/>
    <col min="27" max="27" width="2.625" style="89" customWidth="1"/>
    <col min="28" max="16384" width="9" style="89"/>
  </cols>
  <sheetData>
    <row r="1" spans="2:27" ht="15" customHeight="1" x14ac:dyDescent="0.15">
      <c r="B1" s="95"/>
      <c r="C1" s="111" t="s">
        <v>634</v>
      </c>
      <c r="D1" s="120" t="s">
        <v>635</v>
      </c>
    </row>
    <row r="2" spans="2:27" ht="15" customHeight="1" x14ac:dyDescent="0.15">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row>
    <row r="3" spans="2:27" ht="20.100000000000001" customHeight="1" x14ac:dyDescent="0.15">
      <c r="B3" s="100"/>
      <c r="C3" s="199" t="s">
        <v>337</v>
      </c>
      <c r="D3" s="199" t="s">
        <v>610</v>
      </c>
      <c r="E3" s="199" t="s">
        <v>222</v>
      </c>
      <c r="F3" s="199" t="s">
        <v>611</v>
      </c>
      <c r="G3" s="199" t="s">
        <v>612</v>
      </c>
      <c r="H3" s="199" t="s">
        <v>613</v>
      </c>
      <c r="I3" s="199" t="s">
        <v>614</v>
      </c>
      <c r="J3" s="199" t="s">
        <v>615</v>
      </c>
      <c r="K3" s="199" t="s">
        <v>616</v>
      </c>
      <c r="L3" s="199" t="s">
        <v>617</v>
      </c>
      <c r="M3" s="199" t="s">
        <v>618</v>
      </c>
      <c r="N3" s="199" t="s">
        <v>242</v>
      </c>
      <c r="O3" s="100"/>
      <c r="P3" s="117" t="s">
        <v>337</v>
      </c>
      <c r="Q3" s="117" t="s">
        <v>338</v>
      </c>
      <c r="R3" s="117" t="s">
        <v>670</v>
      </c>
      <c r="S3" s="117" t="s">
        <v>671</v>
      </c>
      <c r="T3" s="117" t="s">
        <v>672</v>
      </c>
      <c r="U3" s="117" t="s">
        <v>49</v>
      </c>
      <c r="V3" s="117" t="s">
        <v>52</v>
      </c>
      <c r="W3" s="117" t="s">
        <v>34</v>
      </c>
      <c r="X3" s="117" t="s">
        <v>242</v>
      </c>
      <c r="Y3" s="117" t="s">
        <v>222</v>
      </c>
      <c r="Z3" s="119" t="s">
        <v>673</v>
      </c>
      <c r="AA3" s="100"/>
    </row>
    <row r="4" spans="2:27" ht="20.100000000000001" customHeight="1" x14ac:dyDescent="0.15">
      <c r="B4" s="100"/>
      <c r="C4" s="200" t="s">
        <v>619</v>
      </c>
      <c r="D4" s="200" t="s">
        <v>620</v>
      </c>
      <c r="E4" s="200" t="s">
        <v>569</v>
      </c>
      <c r="F4" s="200">
        <v>2</v>
      </c>
      <c r="G4" s="200" t="s">
        <v>621</v>
      </c>
      <c r="H4" s="200" t="s">
        <v>622</v>
      </c>
      <c r="I4" s="201" t="s">
        <v>626</v>
      </c>
      <c r="J4" s="200" t="s">
        <v>623</v>
      </c>
      <c r="K4" s="200" t="s">
        <v>624</v>
      </c>
      <c r="L4" s="200" t="s">
        <v>625</v>
      </c>
      <c r="M4" s="200" t="s">
        <v>583</v>
      </c>
      <c r="N4" s="200">
        <v>55000</v>
      </c>
      <c r="O4" s="100"/>
      <c r="P4" s="118" t="s">
        <v>674</v>
      </c>
      <c r="Q4" s="118" t="s">
        <v>675</v>
      </c>
      <c r="R4" s="118">
        <v>1</v>
      </c>
      <c r="S4" s="118" t="s">
        <v>139</v>
      </c>
      <c r="T4" s="118">
        <v>0</v>
      </c>
      <c r="U4" s="118" t="s">
        <v>676</v>
      </c>
      <c r="V4" s="118" t="s">
        <v>418</v>
      </c>
      <c r="W4" s="118" t="s">
        <v>677</v>
      </c>
      <c r="X4" s="118">
        <v>120000</v>
      </c>
      <c r="Y4" s="118" t="s">
        <v>678</v>
      </c>
      <c r="Z4" s="118"/>
      <c r="AA4" s="100"/>
    </row>
    <row r="5" spans="2:27" ht="20.100000000000001" customHeight="1" x14ac:dyDescent="0.15">
      <c r="B5" s="100"/>
      <c r="C5" s="358" t="s">
        <v>633</v>
      </c>
      <c r="D5" s="358"/>
      <c r="E5" s="358"/>
      <c r="F5" s="358"/>
      <c r="G5" s="358"/>
      <c r="H5" s="358"/>
      <c r="I5" s="358"/>
      <c r="J5" s="358"/>
      <c r="K5" s="358"/>
      <c r="L5" s="358"/>
      <c r="M5" s="358"/>
      <c r="N5" s="358"/>
      <c r="O5" s="100"/>
      <c r="P5" s="362" t="s">
        <v>679</v>
      </c>
      <c r="Q5" s="363"/>
      <c r="R5" s="363"/>
      <c r="S5" s="363"/>
      <c r="T5" s="363"/>
      <c r="U5" s="363"/>
      <c r="V5" s="363"/>
      <c r="W5" s="363"/>
      <c r="X5" s="363"/>
      <c r="Y5" s="363"/>
      <c r="Z5" s="364"/>
      <c r="AA5" s="100"/>
    </row>
    <row r="6" spans="2:27" ht="50.1" customHeight="1" x14ac:dyDescent="0.15">
      <c r="B6" s="100"/>
      <c r="C6" s="361" t="s">
        <v>627</v>
      </c>
      <c r="D6" s="361"/>
      <c r="E6" s="361"/>
      <c r="F6" s="361"/>
      <c r="G6" s="361"/>
      <c r="H6" s="361"/>
      <c r="I6" s="361"/>
      <c r="J6" s="361"/>
      <c r="K6" s="361"/>
      <c r="L6" s="361"/>
      <c r="M6" s="361"/>
      <c r="N6" s="361"/>
      <c r="O6" s="100"/>
      <c r="P6" s="365"/>
      <c r="Q6" s="366"/>
      <c r="R6" s="366"/>
      <c r="S6" s="366"/>
      <c r="T6" s="366"/>
      <c r="U6" s="366"/>
      <c r="V6" s="366"/>
      <c r="W6" s="366"/>
      <c r="X6" s="366"/>
      <c r="Y6" s="366"/>
      <c r="Z6" s="367"/>
      <c r="AA6" s="100"/>
    </row>
    <row r="7" spans="2:27" ht="20.100000000000001" customHeight="1" x14ac:dyDescent="0.15">
      <c r="B7" s="100"/>
      <c r="C7" s="202" t="s">
        <v>628</v>
      </c>
      <c r="D7" s="358" t="s">
        <v>633</v>
      </c>
      <c r="E7" s="359"/>
      <c r="F7" s="359"/>
      <c r="G7" s="359"/>
      <c r="H7" s="359"/>
      <c r="I7" s="359"/>
      <c r="J7" s="359"/>
      <c r="K7" s="359"/>
      <c r="L7" s="359"/>
      <c r="M7" s="359"/>
      <c r="N7" s="199" t="s">
        <v>242</v>
      </c>
      <c r="O7" s="100"/>
      <c r="P7" s="365"/>
      <c r="Q7" s="366"/>
      <c r="R7" s="366"/>
      <c r="S7" s="366"/>
      <c r="T7" s="366"/>
      <c r="U7" s="366"/>
      <c r="V7" s="366"/>
      <c r="W7" s="366"/>
      <c r="X7" s="366"/>
      <c r="Y7" s="366"/>
      <c r="Z7" s="367"/>
      <c r="AA7" s="100"/>
    </row>
    <row r="8" spans="2:27" ht="50.1" customHeight="1" x14ac:dyDescent="0.15">
      <c r="B8" s="100"/>
      <c r="C8" s="200" t="s">
        <v>631</v>
      </c>
      <c r="D8" s="360" t="s">
        <v>630</v>
      </c>
      <c r="E8" s="360"/>
      <c r="F8" s="360"/>
      <c r="G8" s="360"/>
      <c r="H8" s="360"/>
      <c r="I8" s="360"/>
      <c r="J8" s="360"/>
      <c r="K8" s="360"/>
      <c r="L8" s="360"/>
      <c r="M8" s="360"/>
      <c r="N8" s="200">
        <v>13750</v>
      </c>
      <c r="O8" s="100"/>
      <c r="P8" s="365"/>
      <c r="Q8" s="366"/>
      <c r="R8" s="366"/>
      <c r="S8" s="366"/>
      <c r="T8" s="366"/>
      <c r="U8" s="366"/>
      <c r="V8" s="366"/>
      <c r="W8" s="366"/>
      <c r="X8" s="366"/>
      <c r="Y8" s="366"/>
      <c r="Z8" s="367"/>
      <c r="AA8" s="100"/>
    </row>
    <row r="9" spans="2:27" ht="20.100000000000001" customHeight="1" x14ac:dyDescent="0.15">
      <c r="B9" s="100"/>
      <c r="C9" s="202" t="s">
        <v>629</v>
      </c>
      <c r="D9" s="358" t="s">
        <v>633</v>
      </c>
      <c r="E9" s="359"/>
      <c r="F9" s="359"/>
      <c r="G9" s="359"/>
      <c r="H9" s="359"/>
      <c r="I9" s="359"/>
      <c r="J9" s="359"/>
      <c r="K9" s="359"/>
      <c r="L9" s="359"/>
      <c r="M9" s="359"/>
      <c r="N9" s="199" t="s">
        <v>242</v>
      </c>
      <c r="O9" s="100"/>
      <c r="P9" s="365"/>
      <c r="Q9" s="366"/>
      <c r="R9" s="366"/>
      <c r="S9" s="366"/>
      <c r="T9" s="366"/>
      <c r="U9" s="366"/>
      <c r="V9" s="366"/>
      <c r="W9" s="366"/>
      <c r="X9" s="366"/>
      <c r="Y9" s="366"/>
      <c r="Z9" s="367"/>
      <c r="AA9" s="100"/>
    </row>
    <row r="10" spans="2:27" ht="50.1" customHeight="1" x14ac:dyDescent="0.15">
      <c r="B10" s="100"/>
      <c r="C10" s="200" t="s">
        <v>645</v>
      </c>
      <c r="D10" s="361" t="s">
        <v>646</v>
      </c>
      <c r="E10" s="360"/>
      <c r="F10" s="360"/>
      <c r="G10" s="360"/>
      <c r="H10" s="360"/>
      <c r="I10" s="360"/>
      <c r="J10" s="360"/>
      <c r="K10" s="360"/>
      <c r="L10" s="360"/>
      <c r="M10" s="360"/>
      <c r="N10" s="200">
        <v>6875</v>
      </c>
      <c r="O10" s="100"/>
      <c r="P10" s="365"/>
      <c r="Q10" s="366"/>
      <c r="R10" s="366"/>
      <c r="S10" s="366"/>
      <c r="T10" s="366"/>
      <c r="U10" s="366"/>
      <c r="V10" s="366"/>
      <c r="W10" s="366"/>
      <c r="X10" s="366"/>
      <c r="Y10" s="366"/>
      <c r="Z10" s="367"/>
      <c r="AA10" s="100"/>
    </row>
    <row r="11" spans="2:27" ht="20.100000000000001" customHeight="1" x14ac:dyDescent="0.15">
      <c r="B11" s="100"/>
      <c r="C11" s="202" t="s">
        <v>640</v>
      </c>
      <c r="D11" s="358" t="s">
        <v>633</v>
      </c>
      <c r="E11" s="359"/>
      <c r="F11" s="359"/>
      <c r="G11" s="359"/>
      <c r="H11" s="359"/>
      <c r="I11" s="359"/>
      <c r="J11" s="359"/>
      <c r="K11" s="359"/>
      <c r="L11" s="359"/>
      <c r="M11" s="359"/>
      <c r="N11" s="199" t="s">
        <v>242</v>
      </c>
      <c r="O11" s="100"/>
      <c r="P11" s="365"/>
      <c r="Q11" s="366"/>
      <c r="R11" s="366"/>
      <c r="S11" s="366"/>
      <c r="T11" s="366"/>
      <c r="U11" s="366"/>
      <c r="V11" s="366"/>
      <c r="W11" s="366"/>
      <c r="X11" s="366"/>
      <c r="Y11" s="366"/>
      <c r="Z11" s="367"/>
      <c r="AA11" s="100"/>
    </row>
    <row r="12" spans="2:27" ht="50.1" customHeight="1" x14ac:dyDescent="0.15">
      <c r="B12" s="100"/>
      <c r="C12" s="200" t="s">
        <v>647</v>
      </c>
      <c r="D12" s="361" t="s">
        <v>648</v>
      </c>
      <c r="E12" s="360"/>
      <c r="F12" s="360"/>
      <c r="G12" s="360"/>
      <c r="H12" s="360"/>
      <c r="I12" s="360"/>
      <c r="J12" s="360"/>
      <c r="K12" s="360"/>
      <c r="L12" s="360"/>
      <c r="M12" s="360"/>
      <c r="N12" s="200">
        <v>800</v>
      </c>
      <c r="O12" s="100"/>
      <c r="P12" s="365"/>
      <c r="Q12" s="366"/>
      <c r="R12" s="366"/>
      <c r="S12" s="366"/>
      <c r="T12" s="366"/>
      <c r="U12" s="366"/>
      <c r="V12" s="366"/>
      <c r="W12" s="366"/>
      <c r="X12" s="366"/>
      <c r="Y12" s="366"/>
      <c r="Z12" s="367"/>
      <c r="AA12" s="100"/>
    </row>
    <row r="13" spans="2:27" ht="20.100000000000001" customHeight="1" x14ac:dyDescent="0.15">
      <c r="B13" s="100"/>
      <c r="C13" s="202" t="s">
        <v>637</v>
      </c>
      <c r="D13" s="358" t="s">
        <v>633</v>
      </c>
      <c r="E13" s="359"/>
      <c r="F13" s="359"/>
      <c r="G13" s="359"/>
      <c r="H13" s="359"/>
      <c r="I13" s="359"/>
      <c r="J13" s="359"/>
      <c r="K13" s="359"/>
      <c r="L13" s="359"/>
      <c r="M13" s="359"/>
      <c r="N13" s="199" t="s">
        <v>242</v>
      </c>
      <c r="O13" s="100"/>
      <c r="P13" s="365"/>
      <c r="Q13" s="366"/>
      <c r="R13" s="366"/>
      <c r="S13" s="366"/>
      <c r="T13" s="366"/>
      <c r="U13" s="366"/>
      <c r="V13" s="366"/>
      <c r="W13" s="366"/>
      <c r="X13" s="366"/>
      <c r="Y13" s="366"/>
      <c r="Z13" s="367"/>
      <c r="AA13" s="100"/>
    </row>
    <row r="14" spans="2:27" ht="50.1" customHeight="1" x14ac:dyDescent="0.15">
      <c r="B14" s="100"/>
      <c r="C14" s="200" t="s">
        <v>649</v>
      </c>
      <c r="D14" s="361" t="s">
        <v>650</v>
      </c>
      <c r="E14" s="360"/>
      <c r="F14" s="360"/>
      <c r="G14" s="360"/>
      <c r="H14" s="360"/>
      <c r="I14" s="360"/>
      <c r="J14" s="360"/>
      <c r="K14" s="360"/>
      <c r="L14" s="360"/>
      <c r="M14" s="360"/>
      <c r="N14" s="200">
        <v>1000</v>
      </c>
      <c r="O14" s="100"/>
      <c r="P14" s="365"/>
      <c r="Q14" s="366"/>
      <c r="R14" s="366"/>
      <c r="S14" s="366"/>
      <c r="T14" s="366"/>
      <c r="U14" s="366"/>
      <c r="V14" s="366"/>
      <c r="W14" s="366"/>
      <c r="X14" s="366"/>
      <c r="Y14" s="366"/>
      <c r="Z14" s="367"/>
      <c r="AA14" s="100"/>
    </row>
    <row r="15" spans="2:27" ht="20.100000000000001" customHeight="1" x14ac:dyDescent="0.15">
      <c r="B15" s="100"/>
      <c r="C15" s="202" t="s">
        <v>642</v>
      </c>
      <c r="D15" s="358" t="s">
        <v>633</v>
      </c>
      <c r="E15" s="359"/>
      <c r="F15" s="359"/>
      <c r="G15" s="359"/>
      <c r="H15" s="359"/>
      <c r="I15" s="359"/>
      <c r="J15" s="359"/>
      <c r="K15" s="359"/>
      <c r="L15" s="359"/>
      <c r="M15" s="359"/>
      <c r="N15" s="199" t="s">
        <v>242</v>
      </c>
      <c r="O15" s="100"/>
      <c r="P15" s="365"/>
      <c r="Q15" s="366"/>
      <c r="R15" s="366"/>
      <c r="S15" s="366"/>
      <c r="T15" s="366"/>
      <c r="U15" s="366"/>
      <c r="V15" s="366"/>
      <c r="W15" s="366"/>
      <c r="X15" s="366"/>
      <c r="Y15" s="366"/>
      <c r="Z15" s="367"/>
      <c r="AA15" s="100"/>
    </row>
    <row r="16" spans="2:27" ht="50.1" customHeight="1" x14ac:dyDescent="0.15">
      <c r="B16" s="100"/>
      <c r="C16" s="200" t="s">
        <v>654</v>
      </c>
      <c r="D16" s="361" t="s">
        <v>655</v>
      </c>
      <c r="E16" s="360"/>
      <c r="F16" s="360"/>
      <c r="G16" s="360"/>
      <c r="H16" s="360"/>
      <c r="I16" s="360"/>
      <c r="J16" s="360"/>
      <c r="K16" s="360"/>
      <c r="L16" s="360"/>
      <c r="M16" s="360"/>
      <c r="N16" s="200">
        <v>800</v>
      </c>
      <c r="O16" s="100"/>
      <c r="P16" s="365"/>
      <c r="Q16" s="366"/>
      <c r="R16" s="366"/>
      <c r="S16" s="366"/>
      <c r="T16" s="366"/>
      <c r="U16" s="366"/>
      <c r="V16" s="366"/>
      <c r="W16" s="366"/>
      <c r="X16" s="366"/>
      <c r="Y16" s="366"/>
      <c r="Z16" s="367"/>
      <c r="AA16" s="100"/>
    </row>
    <row r="17" spans="2:27" ht="20.100000000000001" customHeight="1" x14ac:dyDescent="0.15">
      <c r="B17" s="100"/>
      <c r="C17" s="202" t="s">
        <v>636</v>
      </c>
      <c r="D17" s="358" t="s">
        <v>633</v>
      </c>
      <c r="E17" s="359"/>
      <c r="F17" s="359"/>
      <c r="G17" s="359"/>
      <c r="H17" s="359"/>
      <c r="I17" s="359"/>
      <c r="J17" s="359"/>
      <c r="K17" s="359"/>
      <c r="L17" s="359"/>
      <c r="M17" s="359"/>
      <c r="N17" s="199" t="s">
        <v>242</v>
      </c>
      <c r="O17" s="100"/>
      <c r="P17" s="365"/>
      <c r="Q17" s="366"/>
      <c r="R17" s="366"/>
      <c r="S17" s="366"/>
      <c r="T17" s="366"/>
      <c r="U17" s="366"/>
      <c r="V17" s="366"/>
      <c r="W17" s="366"/>
      <c r="X17" s="366"/>
      <c r="Y17" s="366"/>
      <c r="Z17" s="367"/>
      <c r="AA17" s="100"/>
    </row>
    <row r="18" spans="2:27" ht="50.1" customHeight="1" x14ac:dyDescent="0.15">
      <c r="B18" s="100"/>
      <c r="C18" s="200" t="s">
        <v>651</v>
      </c>
      <c r="D18" s="361" t="s">
        <v>652</v>
      </c>
      <c r="E18" s="360"/>
      <c r="F18" s="360"/>
      <c r="G18" s="360"/>
      <c r="H18" s="360"/>
      <c r="I18" s="360"/>
      <c r="J18" s="360"/>
      <c r="K18" s="360"/>
      <c r="L18" s="360"/>
      <c r="M18" s="360"/>
      <c r="N18" s="200">
        <v>300</v>
      </c>
      <c r="O18" s="100"/>
      <c r="P18" s="368"/>
      <c r="Q18" s="369"/>
      <c r="R18" s="369"/>
      <c r="S18" s="369"/>
      <c r="T18" s="369"/>
      <c r="U18" s="369"/>
      <c r="V18" s="369"/>
      <c r="W18" s="369"/>
      <c r="X18" s="369"/>
      <c r="Y18" s="369"/>
      <c r="Z18" s="370"/>
      <c r="AA18" s="100"/>
    </row>
    <row r="19" spans="2:27" ht="20.100000000000001" customHeight="1" x14ac:dyDescent="0.15">
      <c r="B19" s="100"/>
      <c r="C19" s="202" t="s">
        <v>638</v>
      </c>
      <c r="D19" s="358" t="s">
        <v>633</v>
      </c>
      <c r="E19" s="359"/>
      <c r="F19" s="359"/>
      <c r="G19" s="359"/>
      <c r="H19" s="359"/>
      <c r="I19" s="359"/>
      <c r="J19" s="359"/>
      <c r="K19" s="359"/>
      <c r="L19" s="359"/>
      <c r="M19" s="359"/>
      <c r="N19" s="199" t="s">
        <v>242</v>
      </c>
      <c r="O19" s="100"/>
      <c r="P19" s="100"/>
      <c r="Q19" s="100"/>
      <c r="R19" s="100"/>
      <c r="S19" s="100"/>
      <c r="T19" s="100"/>
      <c r="U19" s="100"/>
      <c r="V19" s="100"/>
      <c r="W19" s="100"/>
      <c r="X19" s="100"/>
      <c r="Y19" s="100"/>
      <c r="Z19" s="100"/>
      <c r="AA19" s="100"/>
    </row>
    <row r="20" spans="2:27" ht="50.1" customHeight="1" x14ac:dyDescent="0.15">
      <c r="B20" s="100"/>
      <c r="C20" s="200" t="s">
        <v>660</v>
      </c>
      <c r="D20" s="361" t="s">
        <v>661</v>
      </c>
      <c r="E20" s="360"/>
      <c r="F20" s="360"/>
      <c r="G20" s="360"/>
      <c r="H20" s="360"/>
      <c r="I20" s="360"/>
      <c r="J20" s="360"/>
      <c r="K20" s="360"/>
      <c r="L20" s="360"/>
      <c r="M20" s="360"/>
      <c r="N20" s="200">
        <v>200</v>
      </c>
      <c r="O20" s="100"/>
      <c r="P20"/>
      <c r="U20"/>
    </row>
    <row r="21" spans="2:27" ht="20.100000000000001" customHeight="1" x14ac:dyDescent="0.15">
      <c r="B21" s="100"/>
      <c r="C21" s="202" t="s">
        <v>639</v>
      </c>
      <c r="D21" s="358" t="s">
        <v>633</v>
      </c>
      <c r="E21" s="359"/>
      <c r="F21" s="359"/>
      <c r="G21" s="359"/>
      <c r="H21" s="359"/>
      <c r="I21" s="359"/>
      <c r="J21" s="359"/>
      <c r="K21" s="359"/>
      <c r="L21" s="359"/>
      <c r="M21" s="359"/>
      <c r="N21" s="199" t="s">
        <v>242</v>
      </c>
      <c r="O21" s="100"/>
    </row>
    <row r="22" spans="2:27" ht="50.1" customHeight="1" x14ac:dyDescent="0.15">
      <c r="B22" s="100"/>
      <c r="C22" s="200" t="s">
        <v>658</v>
      </c>
      <c r="D22" s="361" t="s">
        <v>659</v>
      </c>
      <c r="E22" s="360"/>
      <c r="F22" s="360"/>
      <c r="G22" s="360"/>
      <c r="H22" s="360"/>
      <c r="I22" s="360"/>
      <c r="J22" s="360"/>
      <c r="K22" s="360"/>
      <c r="L22" s="360"/>
      <c r="M22" s="360"/>
      <c r="N22" s="200">
        <v>100</v>
      </c>
      <c r="O22" s="100"/>
    </row>
    <row r="23" spans="2:27" ht="20.100000000000001" customHeight="1" x14ac:dyDescent="0.15">
      <c r="B23" s="100"/>
      <c r="C23" s="202" t="s">
        <v>641</v>
      </c>
      <c r="D23" s="358" t="s">
        <v>633</v>
      </c>
      <c r="E23" s="359"/>
      <c r="F23" s="359"/>
      <c r="G23" s="359"/>
      <c r="H23" s="359"/>
      <c r="I23" s="359"/>
      <c r="J23" s="359"/>
      <c r="K23" s="359"/>
      <c r="L23" s="359"/>
      <c r="M23" s="359"/>
      <c r="N23" s="199" t="s">
        <v>242</v>
      </c>
      <c r="O23" s="100"/>
    </row>
    <row r="24" spans="2:27" ht="50.1" customHeight="1" x14ac:dyDescent="0.15">
      <c r="B24" s="100"/>
      <c r="C24" s="200" t="s">
        <v>656</v>
      </c>
      <c r="D24" s="361" t="s">
        <v>657</v>
      </c>
      <c r="E24" s="360"/>
      <c r="F24" s="360"/>
      <c r="G24" s="360"/>
      <c r="H24" s="360"/>
      <c r="I24" s="360"/>
      <c r="J24" s="360"/>
      <c r="K24" s="360"/>
      <c r="L24" s="360"/>
      <c r="M24" s="360"/>
      <c r="N24" s="200">
        <v>6875</v>
      </c>
      <c r="O24" s="100"/>
    </row>
    <row r="25" spans="2:27" ht="20.100000000000001" customHeight="1" x14ac:dyDescent="0.15">
      <c r="B25" s="100"/>
      <c r="C25" s="202" t="s">
        <v>653</v>
      </c>
      <c r="D25" s="358" t="s">
        <v>633</v>
      </c>
      <c r="E25" s="359"/>
      <c r="F25" s="359"/>
      <c r="G25" s="359"/>
      <c r="H25" s="359"/>
      <c r="I25" s="359"/>
      <c r="J25" s="359"/>
      <c r="K25" s="359"/>
      <c r="L25" s="359"/>
      <c r="M25" s="359"/>
      <c r="N25" s="199" t="s">
        <v>242</v>
      </c>
      <c r="O25" s="100"/>
    </row>
    <row r="26" spans="2:27" ht="50.1" customHeight="1" x14ac:dyDescent="0.15">
      <c r="B26" s="100"/>
      <c r="C26" s="200" t="s">
        <v>662</v>
      </c>
      <c r="D26" s="361" t="s">
        <v>663</v>
      </c>
      <c r="E26" s="360"/>
      <c r="F26" s="360"/>
      <c r="G26" s="360"/>
      <c r="H26" s="360"/>
      <c r="I26" s="360"/>
      <c r="J26" s="360"/>
      <c r="K26" s="360"/>
      <c r="L26" s="360"/>
      <c r="M26" s="360"/>
      <c r="N26" s="200">
        <v>5000</v>
      </c>
      <c r="O26" s="100"/>
    </row>
    <row r="27" spans="2:27" ht="20.100000000000001" customHeight="1" x14ac:dyDescent="0.15">
      <c r="B27" s="100"/>
      <c r="C27" s="202" t="s">
        <v>643</v>
      </c>
      <c r="D27" s="202" t="s">
        <v>644</v>
      </c>
      <c r="E27" s="358" t="s">
        <v>633</v>
      </c>
      <c r="F27" s="358"/>
      <c r="G27" s="358"/>
      <c r="H27" s="358"/>
      <c r="I27" s="358"/>
      <c r="J27" s="358"/>
      <c r="K27" s="358"/>
      <c r="L27" s="358"/>
      <c r="M27" s="358"/>
      <c r="N27" s="199" t="s">
        <v>242</v>
      </c>
      <c r="O27" s="100"/>
    </row>
    <row r="28" spans="2:27" ht="50.1" customHeight="1" x14ac:dyDescent="0.15">
      <c r="B28" s="100"/>
      <c r="C28" s="200" t="s">
        <v>664</v>
      </c>
      <c r="D28" s="194" t="s">
        <v>632</v>
      </c>
      <c r="E28" s="361" t="s">
        <v>665</v>
      </c>
      <c r="F28" s="360"/>
      <c r="G28" s="360"/>
      <c r="H28" s="360"/>
      <c r="I28" s="360"/>
      <c r="J28" s="360"/>
      <c r="K28" s="360"/>
      <c r="L28" s="360"/>
      <c r="M28" s="360"/>
      <c r="N28" s="200">
        <v>1000</v>
      </c>
      <c r="O28" s="100"/>
      <c r="P28"/>
    </row>
    <row r="29" spans="2:27" ht="50.1" customHeight="1" x14ac:dyDescent="0.15">
      <c r="B29" s="100"/>
      <c r="C29" s="200" t="s">
        <v>666</v>
      </c>
      <c r="D29" s="194" t="s">
        <v>667</v>
      </c>
      <c r="E29" s="361" t="s">
        <v>668</v>
      </c>
      <c r="F29" s="360"/>
      <c r="G29" s="360"/>
      <c r="H29" s="360"/>
      <c r="I29" s="360"/>
      <c r="J29" s="360"/>
      <c r="K29" s="360"/>
      <c r="L29" s="360"/>
      <c r="M29" s="360"/>
      <c r="N29" s="200">
        <v>10000</v>
      </c>
      <c r="O29" s="100"/>
    </row>
    <row r="30" spans="2:27" ht="50.1" customHeight="1" x14ac:dyDescent="0.15">
      <c r="B30" s="100"/>
      <c r="C30" s="200"/>
      <c r="D30" s="193"/>
      <c r="E30" s="360"/>
      <c r="F30" s="360"/>
      <c r="G30" s="360"/>
      <c r="H30" s="360"/>
      <c r="I30" s="360"/>
      <c r="J30" s="360"/>
      <c r="K30" s="360"/>
      <c r="L30" s="360"/>
      <c r="M30" s="360"/>
      <c r="N30" s="200"/>
      <c r="O30" s="100"/>
    </row>
    <row r="31" spans="2:27" ht="50.1" customHeight="1" x14ac:dyDescent="0.15">
      <c r="B31" s="100"/>
      <c r="C31" s="200"/>
      <c r="D31" s="193"/>
      <c r="E31" s="360"/>
      <c r="F31" s="360"/>
      <c r="G31" s="360"/>
      <c r="H31" s="360"/>
      <c r="I31" s="360"/>
      <c r="J31" s="360"/>
      <c r="K31" s="360"/>
      <c r="L31" s="360"/>
      <c r="M31" s="360"/>
      <c r="N31" s="200"/>
      <c r="O31" s="100"/>
    </row>
    <row r="32" spans="2:27" ht="50.1" customHeight="1" x14ac:dyDescent="0.15">
      <c r="B32" s="100"/>
      <c r="C32" s="200"/>
      <c r="D32" s="193"/>
      <c r="E32" s="360"/>
      <c r="F32" s="360"/>
      <c r="G32" s="360"/>
      <c r="H32" s="360"/>
      <c r="I32" s="360"/>
      <c r="J32" s="360"/>
      <c r="K32" s="360"/>
      <c r="L32" s="360"/>
      <c r="M32" s="360"/>
      <c r="N32" s="200"/>
      <c r="O32" s="100"/>
    </row>
    <row r="33" spans="2:15" ht="15" customHeight="1" x14ac:dyDescent="0.15">
      <c r="B33" s="100"/>
      <c r="C33" s="100"/>
      <c r="D33" s="100"/>
      <c r="E33" s="100"/>
      <c r="F33" s="100"/>
      <c r="G33" s="100"/>
      <c r="H33" s="100"/>
      <c r="I33" s="100"/>
      <c r="J33" s="100"/>
      <c r="K33" s="100"/>
      <c r="L33" s="100"/>
      <c r="M33" s="121" t="s">
        <v>669</v>
      </c>
      <c r="N33" s="203">
        <f>SUM(N3:N32)</f>
        <v>101700</v>
      </c>
      <c r="O33" s="100"/>
    </row>
  </sheetData>
  <mergeCells count="29">
    <mergeCell ref="D20:M20"/>
    <mergeCell ref="D21:M21"/>
    <mergeCell ref="D22:M22"/>
    <mergeCell ref="D19:M19"/>
    <mergeCell ref="D18:M18"/>
    <mergeCell ref="E32:M32"/>
    <mergeCell ref="C5:N5"/>
    <mergeCell ref="C6:N6"/>
    <mergeCell ref="D25:M25"/>
    <mergeCell ref="D26:M26"/>
    <mergeCell ref="E28:M28"/>
    <mergeCell ref="E27:M27"/>
    <mergeCell ref="E29:M29"/>
    <mergeCell ref="E30:M30"/>
    <mergeCell ref="E31:M31"/>
    <mergeCell ref="D12:M12"/>
    <mergeCell ref="D23:M23"/>
    <mergeCell ref="D7:M7"/>
    <mergeCell ref="D9:M9"/>
    <mergeCell ref="D13:M13"/>
    <mergeCell ref="D24:M24"/>
    <mergeCell ref="D11:M11"/>
    <mergeCell ref="D8:M8"/>
    <mergeCell ref="D10:M10"/>
    <mergeCell ref="D14:M14"/>
    <mergeCell ref="P5:Z18"/>
    <mergeCell ref="D15:M15"/>
    <mergeCell ref="D16:M16"/>
    <mergeCell ref="D17:M17"/>
  </mergeCells>
  <phoneticPr fontId="22"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75"/>
  <sheetViews>
    <sheetView workbookViewId="0">
      <selection activeCell="M28" sqref="M28:U28"/>
    </sheetView>
  </sheetViews>
  <sheetFormatPr defaultColWidth="9" defaultRowHeight="15" customHeight="1" x14ac:dyDescent="0.15"/>
  <cols>
    <col min="1" max="2" width="2.625" style="142" customWidth="1"/>
    <col min="3" max="3" width="25.625" style="142" customWidth="1"/>
    <col min="4" max="7" width="7.625" style="142" customWidth="1"/>
    <col min="8" max="8" width="80.625" style="142" customWidth="1"/>
    <col min="9" max="10" width="8.625" style="142" customWidth="1"/>
    <col min="11" max="11" width="2.625" style="142" customWidth="1"/>
    <col min="12" max="12" width="20.625" style="142" customWidth="1"/>
    <col min="13" max="14" width="10.625" style="142" customWidth="1"/>
    <col min="15" max="15" width="15.625" style="142" customWidth="1"/>
    <col min="16" max="19" width="8.625" style="142" customWidth="1"/>
    <col min="20" max="20" width="10.625" style="142" customWidth="1"/>
    <col min="21" max="23" width="8.625" style="142" customWidth="1"/>
    <col min="24" max="24" width="2.625" style="142" customWidth="1"/>
    <col min="25" max="16384" width="9" style="142"/>
  </cols>
  <sheetData>
    <row r="1" spans="1:24" ht="15" customHeight="1" x14ac:dyDescent="0.15">
      <c r="A1" s="141"/>
      <c r="B1" s="141"/>
      <c r="C1" s="141"/>
      <c r="D1" s="141"/>
      <c r="E1" s="141"/>
      <c r="F1" s="141"/>
      <c r="G1" s="141"/>
      <c r="H1" s="141"/>
      <c r="I1" s="141"/>
      <c r="J1" s="141"/>
      <c r="K1" s="141"/>
      <c r="L1" s="141"/>
    </row>
    <row r="2" spans="1:24" ht="15" customHeight="1" x14ac:dyDescent="0.15">
      <c r="A2" s="141"/>
      <c r="B2" s="376" t="s">
        <v>566</v>
      </c>
      <c r="C2" s="376"/>
      <c r="D2" s="141"/>
      <c r="E2" s="141"/>
      <c r="F2" s="141"/>
      <c r="G2" s="141"/>
      <c r="H2" s="198" t="s">
        <v>859</v>
      </c>
      <c r="I2" s="141"/>
      <c r="J2" s="141"/>
      <c r="K2" s="141"/>
      <c r="L2" s="198"/>
      <c r="O2" s="198"/>
    </row>
    <row r="3" spans="1:24" ht="15" customHeight="1" x14ac:dyDescent="0.15">
      <c r="A3" s="141"/>
      <c r="B3" s="143"/>
      <c r="C3" s="143"/>
      <c r="D3" s="143"/>
      <c r="E3" s="143"/>
      <c r="F3" s="143"/>
      <c r="G3" s="143"/>
      <c r="H3" s="143"/>
      <c r="I3" s="143"/>
      <c r="J3" s="143"/>
      <c r="K3" s="143"/>
      <c r="L3" s="143"/>
      <c r="M3" s="144"/>
      <c r="N3" s="144"/>
      <c r="O3" s="144"/>
      <c r="P3" s="144"/>
      <c r="Q3" s="144"/>
      <c r="R3" s="144"/>
      <c r="S3" s="144"/>
      <c r="T3" s="144"/>
      <c r="U3" s="144"/>
      <c r="V3" s="144"/>
      <c r="W3" s="144"/>
      <c r="X3" s="144"/>
    </row>
    <row r="4" spans="1:24" ht="15" customHeight="1" x14ac:dyDescent="0.15">
      <c r="A4" s="141"/>
      <c r="B4" s="143"/>
      <c r="C4" s="145" t="s">
        <v>337</v>
      </c>
      <c r="D4" s="145" t="s">
        <v>338</v>
      </c>
      <c r="E4" s="145" t="s">
        <v>343</v>
      </c>
      <c r="F4" s="145" t="s">
        <v>344</v>
      </c>
      <c r="G4" s="145" t="s">
        <v>341</v>
      </c>
      <c r="H4" s="143"/>
      <c r="I4" s="143"/>
      <c r="J4" s="145" t="s">
        <v>340</v>
      </c>
      <c r="K4" s="143"/>
      <c r="L4" s="192"/>
      <c r="M4" s="143"/>
      <c r="N4" s="143"/>
      <c r="O4" s="143"/>
      <c r="P4" s="143"/>
      <c r="Q4" s="143"/>
      <c r="R4" s="143"/>
      <c r="S4" s="143"/>
      <c r="T4" s="143"/>
      <c r="U4" s="143"/>
      <c r="V4" s="143"/>
      <c r="W4" s="145" t="s">
        <v>340</v>
      </c>
      <c r="X4" s="144"/>
    </row>
    <row r="5" spans="1:24" ht="15" customHeight="1" x14ac:dyDescent="0.15">
      <c r="A5" s="141"/>
      <c r="B5" s="143"/>
      <c r="C5" s="101" t="s">
        <v>562</v>
      </c>
      <c r="D5" s="101" t="s">
        <v>687</v>
      </c>
      <c r="E5" s="101">
        <f>SUM(E7:E74)</f>
        <v>96</v>
      </c>
      <c r="F5" s="101">
        <f>SUM(F7:F74)</f>
        <v>172</v>
      </c>
      <c r="G5" s="101">
        <f>SUM(G7:G74)</f>
        <v>13</v>
      </c>
      <c r="H5" s="143"/>
      <c r="I5" s="143"/>
      <c r="J5" s="101">
        <f>SUM(J7:J74)</f>
        <v>176200</v>
      </c>
      <c r="K5" s="143"/>
      <c r="L5" s="143"/>
      <c r="M5" s="143"/>
      <c r="N5" s="143"/>
      <c r="O5" s="143"/>
      <c r="P5" s="143"/>
      <c r="Q5" s="143"/>
      <c r="R5" s="143"/>
      <c r="S5" s="143"/>
      <c r="T5" s="143"/>
      <c r="U5" s="143"/>
      <c r="V5" s="143"/>
      <c r="W5" s="101">
        <f>SUM(W7:W70)</f>
        <v>11900</v>
      </c>
      <c r="X5" s="144"/>
    </row>
    <row r="6" spans="1:24" ht="15" customHeight="1" x14ac:dyDescent="0.15">
      <c r="A6" s="141"/>
      <c r="B6" s="143"/>
      <c r="C6" s="145" t="s">
        <v>339</v>
      </c>
      <c r="D6" s="145" t="s">
        <v>338</v>
      </c>
      <c r="E6" s="145" t="s">
        <v>343</v>
      </c>
      <c r="F6" s="145" t="s">
        <v>344</v>
      </c>
      <c r="G6" s="145" t="s">
        <v>341</v>
      </c>
      <c r="H6" s="145"/>
      <c r="I6" s="145" t="s">
        <v>541</v>
      </c>
      <c r="J6" s="145" t="s">
        <v>340</v>
      </c>
      <c r="K6" s="143"/>
      <c r="L6" s="156" t="s">
        <v>826</v>
      </c>
      <c r="M6" s="156" t="s">
        <v>827</v>
      </c>
      <c r="N6" s="156" t="s">
        <v>338</v>
      </c>
      <c r="O6" s="156" t="s">
        <v>828</v>
      </c>
      <c r="P6" s="156" t="s">
        <v>727</v>
      </c>
      <c r="Q6" s="156" t="s">
        <v>49</v>
      </c>
      <c r="R6" s="156" t="s">
        <v>52</v>
      </c>
      <c r="S6" s="156" t="s">
        <v>846</v>
      </c>
      <c r="T6" s="156" t="s">
        <v>829</v>
      </c>
      <c r="U6" s="156" t="s">
        <v>830</v>
      </c>
      <c r="V6" s="156" t="s">
        <v>222</v>
      </c>
      <c r="W6" s="156" t="s">
        <v>242</v>
      </c>
      <c r="X6" s="144"/>
    </row>
    <row r="7" spans="1:24" ht="15" customHeight="1" x14ac:dyDescent="0.15">
      <c r="A7" s="141"/>
      <c r="B7" s="143"/>
      <c r="C7" s="374" t="s">
        <v>342</v>
      </c>
      <c r="D7" s="375"/>
      <c r="E7" s="375"/>
      <c r="F7" s="375"/>
      <c r="G7" s="375"/>
      <c r="H7" s="375"/>
      <c r="I7" s="375"/>
      <c r="J7" s="375"/>
      <c r="K7" s="143"/>
      <c r="L7" s="164" t="s">
        <v>831</v>
      </c>
      <c r="M7" s="164" t="s">
        <v>832</v>
      </c>
      <c r="N7" s="164" t="s">
        <v>833</v>
      </c>
      <c r="O7" s="164" t="s">
        <v>834</v>
      </c>
      <c r="P7" s="164">
        <v>0</v>
      </c>
      <c r="Q7" s="164" t="s">
        <v>139</v>
      </c>
      <c r="R7" s="164" t="s">
        <v>835</v>
      </c>
      <c r="S7" s="164">
        <v>2</v>
      </c>
      <c r="T7" s="164" t="s">
        <v>836</v>
      </c>
      <c r="U7" s="164" t="s">
        <v>837</v>
      </c>
      <c r="V7" s="164" t="s">
        <v>559</v>
      </c>
      <c r="W7" s="164">
        <v>3000</v>
      </c>
      <c r="X7" s="144"/>
    </row>
    <row r="8" spans="1:24" ht="15" customHeight="1" x14ac:dyDescent="0.15">
      <c r="A8" s="141"/>
      <c r="B8" s="143"/>
      <c r="C8" s="146" t="s">
        <v>682</v>
      </c>
      <c r="D8" s="146" t="s">
        <v>563</v>
      </c>
      <c r="E8" s="146">
        <v>15</v>
      </c>
      <c r="F8" s="146">
        <v>20</v>
      </c>
      <c r="G8" s="146">
        <v>7</v>
      </c>
      <c r="H8" s="146" t="s">
        <v>683</v>
      </c>
      <c r="I8" s="146" t="s">
        <v>678</v>
      </c>
      <c r="J8" s="146">
        <v>20500</v>
      </c>
      <c r="K8" s="143"/>
      <c r="L8" s="189" t="s">
        <v>34</v>
      </c>
      <c r="M8" s="190"/>
      <c r="N8" s="190"/>
      <c r="O8" s="190"/>
      <c r="P8" s="190"/>
      <c r="Q8" s="190"/>
      <c r="R8" s="190"/>
      <c r="S8" s="190"/>
      <c r="T8" s="190"/>
      <c r="U8" s="190"/>
      <c r="V8" s="190"/>
      <c r="W8" s="191"/>
      <c r="X8" s="144"/>
    </row>
    <row r="9" spans="1:24" ht="15" customHeight="1" x14ac:dyDescent="0.15">
      <c r="A9" s="141"/>
      <c r="B9" s="143"/>
      <c r="C9" s="147" t="s">
        <v>574</v>
      </c>
      <c r="D9" s="374" t="s">
        <v>585</v>
      </c>
      <c r="E9" s="375"/>
      <c r="F9" s="377"/>
      <c r="G9" s="147" t="s">
        <v>341</v>
      </c>
      <c r="H9" s="147" t="s">
        <v>34</v>
      </c>
      <c r="I9" s="147" t="s">
        <v>222</v>
      </c>
      <c r="J9" s="147" t="s">
        <v>340</v>
      </c>
      <c r="K9" s="143"/>
      <c r="L9" s="378" t="s">
        <v>838</v>
      </c>
      <c r="M9" s="379"/>
      <c r="N9" s="379"/>
      <c r="O9" s="379"/>
      <c r="P9" s="379"/>
      <c r="Q9" s="379"/>
      <c r="R9" s="379"/>
      <c r="S9" s="379"/>
      <c r="T9" s="379"/>
      <c r="U9" s="379"/>
      <c r="V9" s="379"/>
      <c r="W9" s="380"/>
      <c r="X9" s="144"/>
    </row>
    <row r="10" spans="1:24" ht="15" customHeight="1" x14ac:dyDescent="0.15">
      <c r="A10" s="141"/>
      <c r="B10" s="143"/>
      <c r="C10" s="146" t="s">
        <v>699</v>
      </c>
      <c r="D10" s="371" t="s">
        <v>700</v>
      </c>
      <c r="E10" s="372"/>
      <c r="F10" s="373"/>
      <c r="G10" s="146">
        <v>0</v>
      </c>
      <c r="H10" s="148" t="s">
        <v>701</v>
      </c>
      <c r="I10" s="146" t="s">
        <v>678</v>
      </c>
      <c r="J10" s="146">
        <v>0</v>
      </c>
      <c r="K10" s="143"/>
      <c r="L10" s="381"/>
      <c r="M10" s="382"/>
      <c r="N10" s="382"/>
      <c r="O10" s="382"/>
      <c r="P10" s="382"/>
      <c r="Q10" s="382"/>
      <c r="R10" s="382"/>
      <c r="S10" s="382"/>
      <c r="T10" s="382"/>
      <c r="U10" s="382"/>
      <c r="V10" s="382"/>
      <c r="W10" s="383"/>
      <c r="X10" s="144"/>
    </row>
    <row r="11" spans="1:24" ht="15" customHeight="1" x14ac:dyDescent="0.15">
      <c r="A11" s="141"/>
      <c r="B11" s="143"/>
      <c r="C11" s="146" t="s">
        <v>702</v>
      </c>
      <c r="D11" s="371" t="s">
        <v>691</v>
      </c>
      <c r="E11" s="372"/>
      <c r="F11" s="373"/>
      <c r="G11" s="188">
        <v>0</v>
      </c>
      <c r="H11" s="148" t="s">
        <v>704</v>
      </c>
      <c r="I11" s="146" t="s">
        <v>543</v>
      </c>
      <c r="J11" s="146">
        <v>0</v>
      </c>
      <c r="K11" s="143"/>
      <c r="L11" s="381"/>
      <c r="M11" s="382"/>
      <c r="N11" s="382"/>
      <c r="O11" s="382"/>
      <c r="P11" s="382"/>
      <c r="Q11" s="382"/>
      <c r="R11" s="382"/>
      <c r="S11" s="382"/>
      <c r="T11" s="382"/>
      <c r="U11" s="382"/>
      <c r="V11" s="382"/>
      <c r="W11" s="383"/>
      <c r="X11" s="144"/>
    </row>
    <row r="12" spans="1:24" ht="15" customHeight="1" x14ac:dyDescent="0.15">
      <c r="A12" s="141"/>
      <c r="B12" s="143"/>
      <c r="C12" s="146" t="s">
        <v>703</v>
      </c>
      <c r="D12" s="371" t="s">
        <v>691</v>
      </c>
      <c r="E12" s="372"/>
      <c r="F12" s="373"/>
      <c r="G12" s="188">
        <v>0</v>
      </c>
      <c r="H12" s="148" t="s">
        <v>705</v>
      </c>
      <c r="I12" s="146" t="s">
        <v>569</v>
      </c>
      <c r="J12" s="146">
        <v>0</v>
      </c>
      <c r="K12" s="143"/>
      <c r="L12" s="384"/>
      <c r="M12" s="385"/>
      <c r="N12" s="385"/>
      <c r="O12" s="385"/>
      <c r="P12" s="385"/>
      <c r="Q12" s="385"/>
      <c r="R12" s="385"/>
      <c r="S12" s="385"/>
      <c r="T12" s="385"/>
      <c r="U12" s="385"/>
      <c r="V12" s="385"/>
      <c r="W12" s="386"/>
      <c r="X12" s="144"/>
    </row>
    <row r="13" spans="1:24" ht="15" customHeight="1" x14ac:dyDescent="0.15">
      <c r="A13" s="141"/>
      <c r="B13" s="143"/>
      <c r="C13" s="146" t="s">
        <v>706</v>
      </c>
      <c r="D13" s="371" t="s">
        <v>691</v>
      </c>
      <c r="E13" s="372"/>
      <c r="F13" s="373"/>
      <c r="G13" s="188">
        <v>0</v>
      </c>
      <c r="H13" s="148" t="s">
        <v>707</v>
      </c>
      <c r="I13" s="146" t="s">
        <v>569</v>
      </c>
      <c r="J13" s="146">
        <v>0</v>
      </c>
      <c r="K13" s="143"/>
      <c r="L13" s="160" t="s">
        <v>733</v>
      </c>
      <c r="M13" s="306" t="s">
        <v>732</v>
      </c>
      <c r="N13" s="306"/>
      <c r="O13" s="306"/>
      <c r="P13" s="306"/>
      <c r="Q13" s="306"/>
      <c r="R13" s="306"/>
      <c r="S13" s="306"/>
      <c r="T13" s="306"/>
      <c r="U13" s="306"/>
      <c r="V13" s="168" t="s">
        <v>181</v>
      </c>
      <c r="W13" s="168" t="s">
        <v>182</v>
      </c>
      <c r="X13" s="144"/>
    </row>
    <row r="14" spans="1:24" ht="15" customHeight="1" x14ac:dyDescent="0.15">
      <c r="A14" s="141"/>
      <c r="B14" s="143"/>
      <c r="C14" s="146" t="s">
        <v>708</v>
      </c>
      <c r="D14" s="371" t="s">
        <v>691</v>
      </c>
      <c r="E14" s="372"/>
      <c r="F14" s="373"/>
      <c r="G14" s="188">
        <v>0</v>
      </c>
      <c r="H14" s="148" t="s">
        <v>710</v>
      </c>
      <c r="I14" s="146" t="s">
        <v>569</v>
      </c>
      <c r="J14" s="146">
        <v>0</v>
      </c>
      <c r="K14" s="143"/>
      <c r="L14" s="164"/>
      <c r="M14" s="314"/>
      <c r="N14" s="315"/>
      <c r="O14" s="315"/>
      <c r="P14" s="315"/>
      <c r="Q14" s="315"/>
      <c r="R14" s="315"/>
      <c r="S14" s="315"/>
      <c r="T14" s="315"/>
      <c r="U14" s="316"/>
      <c r="V14" s="166"/>
      <c r="W14" s="166"/>
      <c r="X14" s="144"/>
    </row>
    <row r="15" spans="1:24" ht="15" customHeight="1" x14ac:dyDescent="0.15">
      <c r="A15" s="141"/>
      <c r="B15" s="143"/>
      <c r="C15" s="146" t="s">
        <v>709</v>
      </c>
      <c r="D15" s="371" t="s">
        <v>584</v>
      </c>
      <c r="E15" s="372"/>
      <c r="F15" s="373"/>
      <c r="G15" s="188">
        <v>0</v>
      </c>
      <c r="H15" s="148" t="s">
        <v>711</v>
      </c>
      <c r="I15" s="146" t="s">
        <v>569</v>
      </c>
      <c r="J15" s="146">
        <v>0</v>
      </c>
      <c r="K15" s="143"/>
      <c r="L15" s="164"/>
      <c r="M15" s="305"/>
      <c r="N15" s="305"/>
      <c r="O15" s="305"/>
      <c r="P15" s="305"/>
      <c r="Q15" s="305"/>
      <c r="R15" s="305"/>
      <c r="S15" s="305"/>
      <c r="T15" s="305"/>
      <c r="U15" s="305"/>
      <c r="V15" s="166"/>
      <c r="W15" s="166"/>
      <c r="X15" s="144"/>
    </row>
    <row r="16" spans="1:24" ht="15" customHeight="1" x14ac:dyDescent="0.15">
      <c r="A16" s="141"/>
      <c r="B16" s="143"/>
      <c r="C16" s="188" t="s">
        <v>813</v>
      </c>
      <c r="D16" s="371" t="s">
        <v>691</v>
      </c>
      <c r="E16" s="372"/>
      <c r="F16" s="373"/>
      <c r="G16" s="188">
        <v>0</v>
      </c>
      <c r="H16" s="148" t="s">
        <v>816</v>
      </c>
      <c r="I16" s="188" t="s">
        <v>820</v>
      </c>
      <c r="J16" s="188">
        <v>0</v>
      </c>
      <c r="K16" s="143"/>
      <c r="L16" s="164"/>
      <c r="M16" s="305"/>
      <c r="N16" s="305"/>
      <c r="O16" s="305"/>
      <c r="P16" s="305"/>
      <c r="Q16" s="305"/>
      <c r="R16" s="305"/>
      <c r="S16" s="305"/>
      <c r="T16" s="305"/>
      <c r="U16" s="305"/>
      <c r="V16" s="166"/>
      <c r="W16" s="166"/>
      <c r="X16" s="144"/>
    </row>
    <row r="17" spans="1:24" ht="15" customHeight="1" x14ac:dyDescent="0.15">
      <c r="A17" s="141"/>
      <c r="B17" s="143"/>
      <c r="C17" s="188" t="s">
        <v>814</v>
      </c>
      <c r="D17" s="371" t="s">
        <v>691</v>
      </c>
      <c r="E17" s="372"/>
      <c r="F17" s="373"/>
      <c r="G17" s="188">
        <v>0</v>
      </c>
      <c r="H17" s="148" t="s">
        <v>817</v>
      </c>
      <c r="I17" s="188" t="s">
        <v>569</v>
      </c>
      <c r="J17" s="188">
        <v>0</v>
      </c>
      <c r="K17" s="143"/>
      <c r="L17" s="164"/>
      <c r="M17" s="305"/>
      <c r="N17" s="305"/>
      <c r="O17" s="305"/>
      <c r="P17" s="305"/>
      <c r="Q17" s="305"/>
      <c r="R17" s="305"/>
      <c r="S17" s="305"/>
      <c r="T17" s="305"/>
      <c r="U17" s="305"/>
      <c r="V17" s="166"/>
      <c r="W17" s="166"/>
      <c r="X17" s="144"/>
    </row>
    <row r="18" spans="1:24" ht="15" customHeight="1" x14ac:dyDescent="0.15">
      <c r="A18" s="141"/>
      <c r="B18" s="143"/>
      <c r="C18" s="146" t="s">
        <v>815</v>
      </c>
      <c r="D18" s="371" t="s">
        <v>819</v>
      </c>
      <c r="E18" s="372"/>
      <c r="F18" s="373"/>
      <c r="G18" s="188">
        <v>0</v>
      </c>
      <c r="H18" s="148" t="s">
        <v>818</v>
      </c>
      <c r="I18" s="188" t="s">
        <v>569</v>
      </c>
      <c r="J18" s="146">
        <v>0</v>
      </c>
      <c r="K18" s="143"/>
      <c r="L18" s="164"/>
      <c r="M18" s="305"/>
      <c r="N18" s="305"/>
      <c r="O18" s="305"/>
      <c r="P18" s="305"/>
      <c r="Q18" s="305"/>
      <c r="R18" s="305"/>
      <c r="S18" s="305"/>
      <c r="T18" s="305"/>
      <c r="U18" s="305"/>
      <c r="V18" s="166"/>
      <c r="W18" s="166"/>
      <c r="X18" s="144"/>
    </row>
    <row r="19" spans="1:24" ht="15" customHeight="1" x14ac:dyDescent="0.15">
      <c r="A19" s="141"/>
      <c r="B19" s="143"/>
      <c r="C19" s="146" t="s">
        <v>810</v>
      </c>
      <c r="D19" s="371" t="s">
        <v>812</v>
      </c>
      <c r="E19" s="372"/>
      <c r="F19" s="373"/>
      <c r="G19" s="146">
        <v>-1</v>
      </c>
      <c r="H19" s="148" t="s">
        <v>811</v>
      </c>
      <c r="I19" s="146" t="s">
        <v>678</v>
      </c>
      <c r="J19" s="146">
        <v>5000</v>
      </c>
      <c r="K19" s="143"/>
      <c r="L19" s="156" t="s">
        <v>826</v>
      </c>
      <c r="M19" s="156" t="s">
        <v>827</v>
      </c>
      <c r="N19" s="156" t="s">
        <v>338</v>
      </c>
      <c r="O19" s="156" t="s">
        <v>828</v>
      </c>
      <c r="P19" s="156" t="s">
        <v>727</v>
      </c>
      <c r="Q19" s="156" t="s">
        <v>49</v>
      </c>
      <c r="R19" s="156" t="s">
        <v>52</v>
      </c>
      <c r="S19" s="156" t="s">
        <v>846</v>
      </c>
      <c r="T19" s="156" t="s">
        <v>829</v>
      </c>
      <c r="U19" s="156" t="s">
        <v>830</v>
      </c>
      <c r="V19" s="156" t="s">
        <v>222</v>
      </c>
      <c r="W19" s="156" t="s">
        <v>242</v>
      </c>
      <c r="X19" s="144"/>
    </row>
    <row r="20" spans="1:24" ht="15" customHeight="1" x14ac:dyDescent="0.15">
      <c r="A20" s="141"/>
      <c r="B20" s="143"/>
      <c r="C20" s="374" t="s">
        <v>581</v>
      </c>
      <c r="D20" s="375"/>
      <c r="E20" s="375"/>
      <c r="F20" s="375"/>
      <c r="G20" s="375"/>
      <c r="H20" s="375"/>
      <c r="I20" s="375"/>
      <c r="J20" s="375"/>
      <c r="K20" s="143"/>
      <c r="L20" s="164" t="s">
        <v>858</v>
      </c>
      <c r="M20" s="164">
        <v>1</v>
      </c>
      <c r="N20" s="164" t="s">
        <v>839</v>
      </c>
      <c r="O20" s="164" t="s">
        <v>840</v>
      </c>
      <c r="P20" s="164">
        <v>1</v>
      </c>
      <c r="Q20" s="164" t="s">
        <v>841</v>
      </c>
      <c r="R20" s="164" t="s">
        <v>842</v>
      </c>
      <c r="S20" s="164">
        <v>2</v>
      </c>
      <c r="T20" s="164" t="s">
        <v>139</v>
      </c>
      <c r="U20" s="164" t="s">
        <v>843</v>
      </c>
      <c r="V20" s="164" t="s">
        <v>559</v>
      </c>
      <c r="W20" s="164">
        <v>8900</v>
      </c>
      <c r="X20" s="144"/>
    </row>
    <row r="21" spans="1:24" ht="15" customHeight="1" x14ac:dyDescent="0.15">
      <c r="A21" s="141"/>
      <c r="B21" s="143"/>
      <c r="C21" s="146" t="s">
        <v>567</v>
      </c>
      <c r="D21" s="146" t="s">
        <v>563</v>
      </c>
      <c r="E21" s="146">
        <v>18</v>
      </c>
      <c r="F21" s="146">
        <v>45</v>
      </c>
      <c r="G21" s="146">
        <v>6</v>
      </c>
      <c r="H21" s="146" t="s">
        <v>568</v>
      </c>
      <c r="I21" s="146" t="s">
        <v>569</v>
      </c>
      <c r="J21" s="146">
        <v>35000</v>
      </c>
      <c r="K21" s="143"/>
      <c r="L21" s="195" t="s">
        <v>34</v>
      </c>
      <c r="M21" s="196"/>
      <c r="N21" s="196"/>
      <c r="O21" s="196"/>
      <c r="P21" s="196"/>
      <c r="Q21" s="196"/>
      <c r="R21" s="196"/>
      <c r="S21" s="196"/>
      <c r="T21" s="196"/>
      <c r="U21" s="196"/>
      <c r="V21" s="196"/>
      <c r="W21" s="197"/>
      <c r="X21" s="144"/>
    </row>
    <row r="22" spans="1:24" ht="15" customHeight="1" x14ac:dyDescent="0.15">
      <c r="A22" s="141"/>
      <c r="B22" s="143"/>
      <c r="C22" s="147" t="s">
        <v>582</v>
      </c>
      <c r="D22" s="374" t="s">
        <v>585</v>
      </c>
      <c r="E22" s="375"/>
      <c r="F22" s="377"/>
      <c r="G22" s="147" t="s">
        <v>341</v>
      </c>
      <c r="H22" s="147" t="s">
        <v>34</v>
      </c>
      <c r="I22" s="147" t="s">
        <v>222</v>
      </c>
      <c r="J22" s="147" t="s">
        <v>340</v>
      </c>
      <c r="K22" s="143"/>
      <c r="L22" s="378" t="s">
        <v>844</v>
      </c>
      <c r="M22" s="379"/>
      <c r="N22" s="379"/>
      <c r="O22" s="379"/>
      <c r="P22" s="379"/>
      <c r="Q22" s="379"/>
      <c r="R22" s="379"/>
      <c r="S22" s="379"/>
      <c r="T22" s="379"/>
      <c r="U22" s="379"/>
      <c r="V22" s="379"/>
      <c r="W22" s="380"/>
      <c r="X22" s="144"/>
    </row>
    <row r="23" spans="1:24" ht="15" customHeight="1" x14ac:dyDescent="0.15">
      <c r="A23" s="141"/>
      <c r="B23" s="143"/>
      <c r="C23" s="146" t="s">
        <v>688</v>
      </c>
      <c r="D23" s="371" t="s">
        <v>691</v>
      </c>
      <c r="E23" s="372"/>
      <c r="F23" s="373"/>
      <c r="G23" s="146">
        <v>-1</v>
      </c>
      <c r="H23" s="148" t="s">
        <v>690</v>
      </c>
      <c r="I23" s="146" t="s">
        <v>689</v>
      </c>
      <c r="J23" s="146">
        <v>600</v>
      </c>
      <c r="K23" s="143"/>
      <c r="L23" s="381"/>
      <c r="M23" s="382"/>
      <c r="N23" s="382"/>
      <c r="O23" s="382"/>
      <c r="P23" s="382"/>
      <c r="Q23" s="382"/>
      <c r="R23" s="382"/>
      <c r="S23" s="382"/>
      <c r="T23" s="382"/>
      <c r="U23" s="382"/>
      <c r="V23" s="382"/>
      <c r="W23" s="383"/>
      <c r="X23" s="144"/>
    </row>
    <row r="24" spans="1:24" ht="15" customHeight="1" x14ac:dyDescent="0.15">
      <c r="A24" s="141"/>
      <c r="B24" s="143"/>
      <c r="C24" s="146" t="s">
        <v>697</v>
      </c>
      <c r="D24" s="371" t="s">
        <v>691</v>
      </c>
      <c r="E24" s="372"/>
      <c r="F24" s="373"/>
      <c r="G24" s="146">
        <v>-1</v>
      </c>
      <c r="H24" s="148" t="s">
        <v>698</v>
      </c>
      <c r="I24" s="146" t="s">
        <v>678</v>
      </c>
      <c r="J24" s="146">
        <v>10000</v>
      </c>
      <c r="K24" s="143"/>
      <c r="L24" s="381"/>
      <c r="M24" s="382"/>
      <c r="N24" s="382"/>
      <c r="O24" s="382"/>
      <c r="P24" s="382"/>
      <c r="Q24" s="382"/>
      <c r="R24" s="382"/>
      <c r="S24" s="382"/>
      <c r="T24" s="382"/>
      <c r="U24" s="382"/>
      <c r="V24" s="382"/>
      <c r="W24" s="383"/>
      <c r="X24" s="144"/>
    </row>
    <row r="25" spans="1:24" ht="15" customHeight="1" x14ac:dyDescent="0.15">
      <c r="A25" s="141"/>
      <c r="B25" s="143"/>
      <c r="C25" s="146"/>
      <c r="D25" s="371"/>
      <c r="E25" s="372"/>
      <c r="F25" s="373"/>
      <c r="G25" s="146"/>
      <c r="H25" s="148"/>
      <c r="I25" s="146"/>
      <c r="J25" s="146"/>
      <c r="K25" s="143"/>
      <c r="L25" s="384"/>
      <c r="M25" s="385"/>
      <c r="N25" s="385"/>
      <c r="O25" s="385"/>
      <c r="P25" s="385"/>
      <c r="Q25" s="385"/>
      <c r="R25" s="385"/>
      <c r="S25" s="385"/>
      <c r="T25" s="385"/>
      <c r="U25" s="385"/>
      <c r="V25" s="385"/>
      <c r="W25" s="386"/>
      <c r="X25" s="144"/>
    </row>
    <row r="26" spans="1:24" ht="15" customHeight="1" x14ac:dyDescent="0.15">
      <c r="A26" s="141"/>
      <c r="B26" s="143"/>
      <c r="C26" s="146"/>
      <c r="D26" s="371"/>
      <c r="E26" s="372"/>
      <c r="F26" s="373"/>
      <c r="G26" s="146"/>
      <c r="H26" s="148"/>
      <c r="I26" s="146"/>
      <c r="J26" s="146"/>
      <c r="K26" s="143"/>
      <c r="L26" s="160" t="s">
        <v>733</v>
      </c>
      <c r="M26" s="306" t="s">
        <v>732</v>
      </c>
      <c r="N26" s="306"/>
      <c r="O26" s="306"/>
      <c r="P26" s="306"/>
      <c r="Q26" s="306"/>
      <c r="R26" s="306"/>
      <c r="S26" s="306"/>
      <c r="T26" s="306"/>
      <c r="U26" s="306"/>
      <c r="V26" s="168" t="s">
        <v>181</v>
      </c>
      <c r="W26" s="168" t="s">
        <v>182</v>
      </c>
      <c r="X26" s="144"/>
    </row>
    <row r="27" spans="1:24" ht="15" customHeight="1" x14ac:dyDescent="0.15">
      <c r="A27" s="141"/>
      <c r="B27" s="143"/>
      <c r="C27" s="146"/>
      <c r="D27" s="371"/>
      <c r="E27" s="372"/>
      <c r="F27" s="373"/>
      <c r="G27" s="146"/>
      <c r="H27" s="148"/>
      <c r="I27" s="148"/>
      <c r="J27" s="148"/>
      <c r="K27" s="143"/>
      <c r="L27" s="164"/>
      <c r="M27" s="314"/>
      <c r="N27" s="315"/>
      <c r="O27" s="315"/>
      <c r="P27" s="315"/>
      <c r="Q27" s="315"/>
      <c r="R27" s="315"/>
      <c r="S27" s="315"/>
      <c r="T27" s="315"/>
      <c r="U27" s="316"/>
      <c r="V27" s="166"/>
      <c r="W27" s="166"/>
      <c r="X27" s="144"/>
    </row>
    <row r="28" spans="1:24" ht="15" customHeight="1" x14ac:dyDescent="0.15">
      <c r="A28" s="141"/>
      <c r="B28" s="143"/>
      <c r="C28" s="146"/>
      <c r="D28" s="371"/>
      <c r="E28" s="372"/>
      <c r="F28" s="373"/>
      <c r="G28" s="146"/>
      <c r="H28" s="148"/>
      <c r="I28" s="146"/>
      <c r="J28" s="146"/>
      <c r="K28" s="143"/>
      <c r="L28" s="164"/>
      <c r="M28" s="305"/>
      <c r="N28" s="305"/>
      <c r="O28" s="305"/>
      <c r="P28" s="305"/>
      <c r="Q28" s="305"/>
      <c r="R28" s="305"/>
      <c r="S28" s="305"/>
      <c r="T28" s="305"/>
      <c r="U28" s="305"/>
      <c r="V28" s="166"/>
      <c r="W28" s="166"/>
      <c r="X28" s="144"/>
    </row>
    <row r="29" spans="1:24" ht="15" customHeight="1" x14ac:dyDescent="0.15">
      <c r="A29" s="141"/>
      <c r="B29" s="143"/>
      <c r="C29" s="146"/>
      <c r="D29" s="371"/>
      <c r="E29" s="372"/>
      <c r="F29" s="373"/>
      <c r="G29" s="146"/>
      <c r="H29" s="148"/>
      <c r="I29" s="146"/>
      <c r="J29" s="146"/>
      <c r="K29" s="143"/>
      <c r="L29" s="164"/>
      <c r="M29" s="305"/>
      <c r="N29" s="305"/>
      <c r="O29" s="305"/>
      <c r="P29" s="305"/>
      <c r="Q29" s="305"/>
      <c r="R29" s="305"/>
      <c r="S29" s="305"/>
      <c r="T29" s="305"/>
      <c r="U29" s="305"/>
      <c r="V29" s="166"/>
      <c r="W29" s="166"/>
      <c r="X29" s="144"/>
    </row>
    <row r="30" spans="1:24" ht="15" customHeight="1" x14ac:dyDescent="0.15">
      <c r="A30" s="141"/>
      <c r="B30" s="143"/>
      <c r="C30" s="146"/>
      <c r="D30" s="371"/>
      <c r="E30" s="372"/>
      <c r="F30" s="373"/>
      <c r="G30" s="146"/>
      <c r="H30" s="148"/>
      <c r="I30" s="146"/>
      <c r="J30" s="146"/>
      <c r="K30" s="143"/>
      <c r="L30" s="164"/>
      <c r="M30" s="305"/>
      <c r="N30" s="305"/>
      <c r="O30" s="305"/>
      <c r="P30" s="305"/>
      <c r="Q30" s="305"/>
      <c r="R30" s="305"/>
      <c r="S30" s="305"/>
      <c r="T30" s="305"/>
      <c r="U30" s="305"/>
      <c r="V30" s="166"/>
      <c r="W30" s="166"/>
      <c r="X30" s="144"/>
    </row>
    <row r="31" spans="1:24" ht="15" customHeight="1" x14ac:dyDescent="0.15">
      <c r="A31" s="141"/>
      <c r="B31" s="143"/>
      <c r="C31" s="374" t="s">
        <v>577</v>
      </c>
      <c r="D31" s="375"/>
      <c r="E31" s="375"/>
      <c r="F31" s="375"/>
      <c r="G31" s="375"/>
      <c r="H31" s="375"/>
      <c r="I31" s="375"/>
      <c r="J31" s="375"/>
      <c r="K31" s="143"/>
      <c r="L31" s="164"/>
      <c r="M31" s="305"/>
      <c r="N31" s="305"/>
      <c r="O31" s="305"/>
      <c r="P31" s="305"/>
      <c r="Q31" s="305"/>
      <c r="R31" s="305"/>
      <c r="S31" s="305"/>
      <c r="T31" s="305"/>
      <c r="U31" s="305"/>
      <c r="V31" s="166"/>
      <c r="W31" s="166"/>
      <c r="X31" s="144"/>
    </row>
    <row r="32" spans="1:24" ht="15" customHeight="1" x14ac:dyDescent="0.15">
      <c r="B32" s="143"/>
      <c r="C32" s="146" t="s">
        <v>570</v>
      </c>
      <c r="D32" s="146" t="s">
        <v>563</v>
      </c>
      <c r="E32" s="146">
        <v>15</v>
      </c>
      <c r="F32" s="146">
        <v>27</v>
      </c>
      <c r="G32" s="146">
        <v>2</v>
      </c>
      <c r="H32" s="146" t="s">
        <v>571</v>
      </c>
      <c r="I32" s="146" t="s">
        <v>569</v>
      </c>
      <c r="J32" s="146">
        <v>21000</v>
      </c>
      <c r="K32" s="143"/>
      <c r="L32" s="156" t="s">
        <v>826</v>
      </c>
      <c r="M32" s="156" t="s">
        <v>827</v>
      </c>
      <c r="N32" s="156" t="s">
        <v>338</v>
      </c>
      <c r="O32" s="156" t="s">
        <v>828</v>
      </c>
      <c r="P32" s="156" t="s">
        <v>727</v>
      </c>
      <c r="Q32" s="156" t="s">
        <v>49</v>
      </c>
      <c r="R32" s="156" t="s">
        <v>52</v>
      </c>
      <c r="S32" s="156" t="s">
        <v>846</v>
      </c>
      <c r="T32" s="156" t="s">
        <v>829</v>
      </c>
      <c r="U32" s="156" t="s">
        <v>830</v>
      </c>
      <c r="V32" s="156" t="s">
        <v>222</v>
      </c>
      <c r="W32" s="156" t="s">
        <v>242</v>
      </c>
      <c r="X32" s="144"/>
    </row>
    <row r="33" spans="2:24" ht="15" customHeight="1" x14ac:dyDescent="0.15">
      <c r="B33" s="143"/>
      <c r="C33" s="147" t="s">
        <v>578</v>
      </c>
      <c r="D33" s="374" t="s">
        <v>585</v>
      </c>
      <c r="E33" s="375"/>
      <c r="F33" s="377"/>
      <c r="G33" s="147" t="s">
        <v>341</v>
      </c>
      <c r="H33" s="147" t="s">
        <v>34</v>
      </c>
      <c r="I33" s="147" t="s">
        <v>222</v>
      </c>
      <c r="J33" s="147" t="s">
        <v>340</v>
      </c>
      <c r="K33" s="143"/>
      <c r="L33" s="164"/>
      <c r="M33" s="164"/>
      <c r="N33" s="164"/>
      <c r="O33" s="164"/>
      <c r="P33" s="164"/>
      <c r="Q33" s="164"/>
      <c r="R33" s="164"/>
      <c r="S33" s="164"/>
      <c r="T33" s="164"/>
      <c r="U33" s="164"/>
      <c r="V33" s="164"/>
      <c r="W33" s="164"/>
      <c r="X33" s="144"/>
    </row>
    <row r="34" spans="2:24" ht="15" customHeight="1" x14ac:dyDescent="0.15">
      <c r="B34" s="143"/>
      <c r="C34" s="146" t="s">
        <v>684</v>
      </c>
      <c r="D34" s="371" t="s">
        <v>691</v>
      </c>
      <c r="E34" s="372"/>
      <c r="F34" s="373"/>
      <c r="G34" s="146">
        <v>-1</v>
      </c>
      <c r="H34" s="148" t="s">
        <v>685</v>
      </c>
      <c r="I34" s="146" t="s">
        <v>686</v>
      </c>
      <c r="J34" s="146">
        <v>2300</v>
      </c>
      <c r="K34" s="143"/>
      <c r="L34" s="195" t="s">
        <v>34</v>
      </c>
      <c r="M34" s="196"/>
      <c r="N34" s="196"/>
      <c r="O34" s="196"/>
      <c r="P34" s="196"/>
      <c r="Q34" s="196"/>
      <c r="R34" s="196"/>
      <c r="S34" s="196"/>
      <c r="T34" s="196"/>
      <c r="U34" s="196"/>
      <c r="V34" s="196"/>
      <c r="W34" s="197"/>
      <c r="X34" s="144"/>
    </row>
    <row r="35" spans="2:24" ht="15" customHeight="1" x14ac:dyDescent="0.15">
      <c r="B35" s="143"/>
      <c r="C35" s="146" t="s">
        <v>695</v>
      </c>
      <c r="D35" s="371" t="s">
        <v>691</v>
      </c>
      <c r="E35" s="372"/>
      <c r="F35" s="373"/>
      <c r="G35" s="146">
        <v>-1</v>
      </c>
      <c r="H35" s="148" t="s">
        <v>696</v>
      </c>
      <c r="I35" s="146" t="s">
        <v>686</v>
      </c>
      <c r="J35" s="146">
        <v>1800</v>
      </c>
      <c r="K35" s="143"/>
      <c r="L35" s="378"/>
      <c r="M35" s="379"/>
      <c r="N35" s="379"/>
      <c r="O35" s="379"/>
      <c r="P35" s="379"/>
      <c r="Q35" s="379"/>
      <c r="R35" s="379"/>
      <c r="S35" s="379"/>
      <c r="T35" s="379"/>
      <c r="U35" s="379"/>
      <c r="V35" s="379"/>
      <c r="W35" s="380"/>
      <c r="X35" s="144"/>
    </row>
    <row r="36" spans="2:24" ht="15" customHeight="1" x14ac:dyDescent="0.15">
      <c r="B36" s="143"/>
      <c r="C36" s="146"/>
      <c r="D36" s="371"/>
      <c r="E36" s="372"/>
      <c r="F36" s="373"/>
      <c r="G36" s="146"/>
      <c r="H36" s="148" t="s">
        <v>823</v>
      </c>
      <c r="I36" s="146"/>
      <c r="J36" s="146"/>
      <c r="K36" s="143"/>
      <c r="L36" s="381"/>
      <c r="M36" s="382"/>
      <c r="N36" s="382"/>
      <c r="O36" s="382"/>
      <c r="P36" s="382"/>
      <c r="Q36" s="382"/>
      <c r="R36" s="382"/>
      <c r="S36" s="382"/>
      <c r="T36" s="382"/>
      <c r="U36" s="382"/>
      <c r="V36" s="382"/>
      <c r="W36" s="383"/>
      <c r="X36" s="144"/>
    </row>
    <row r="37" spans="2:24" ht="15" customHeight="1" x14ac:dyDescent="0.15">
      <c r="B37" s="143"/>
      <c r="C37" s="146"/>
      <c r="D37" s="371"/>
      <c r="E37" s="372"/>
      <c r="F37" s="373"/>
      <c r="G37" s="146"/>
      <c r="H37" s="148"/>
      <c r="I37" s="146"/>
      <c r="J37" s="146"/>
      <c r="K37" s="143"/>
      <c r="L37" s="381"/>
      <c r="M37" s="382"/>
      <c r="N37" s="382"/>
      <c r="O37" s="382"/>
      <c r="P37" s="382"/>
      <c r="Q37" s="382"/>
      <c r="R37" s="382"/>
      <c r="S37" s="382"/>
      <c r="T37" s="382"/>
      <c r="U37" s="382"/>
      <c r="V37" s="382"/>
      <c r="W37" s="383"/>
      <c r="X37" s="144"/>
    </row>
    <row r="38" spans="2:24" ht="15" customHeight="1" x14ac:dyDescent="0.15">
      <c r="B38" s="143"/>
      <c r="C38" s="146"/>
      <c r="D38" s="371"/>
      <c r="E38" s="372"/>
      <c r="F38" s="373"/>
      <c r="G38" s="146"/>
      <c r="H38" s="148"/>
      <c r="I38" s="146"/>
      <c r="J38" s="146"/>
      <c r="K38" s="143"/>
      <c r="L38" s="384"/>
      <c r="M38" s="385"/>
      <c r="N38" s="385"/>
      <c r="O38" s="385"/>
      <c r="P38" s="385"/>
      <c r="Q38" s="385"/>
      <c r="R38" s="385"/>
      <c r="S38" s="385"/>
      <c r="T38" s="385"/>
      <c r="U38" s="385"/>
      <c r="V38" s="385"/>
      <c r="W38" s="386"/>
      <c r="X38" s="144"/>
    </row>
    <row r="39" spans="2:24" ht="15" customHeight="1" x14ac:dyDescent="0.15">
      <c r="B39" s="143"/>
      <c r="C39" s="146"/>
      <c r="D39" s="371"/>
      <c r="E39" s="372"/>
      <c r="F39" s="373"/>
      <c r="G39" s="146"/>
      <c r="H39" s="148"/>
      <c r="I39" s="146"/>
      <c r="J39" s="146"/>
      <c r="K39" s="143"/>
      <c r="L39" s="160" t="s">
        <v>733</v>
      </c>
      <c r="M39" s="306" t="s">
        <v>732</v>
      </c>
      <c r="N39" s="306"/>
      <c r="O39" s="306"/>
      <c r="P39" s="306"/>
      <c r="Q39" s="306"/>
      <c r="R39" s="306"/>
      <c r="S39" s="306"/>
      <c r="T39" s="306"/>
      <c r="U39" s="306"/>
      <c r="V39" s="168" t="s">
        <v>181</v>
      </c>
      <c r="W39" s="168" t="s">
        <v>182</v>
      </c>
      <c r="X39" s="144"/>
    </row>
    <row r="40" spans="2:24" ht="15" customHeight="1" x14ac:dyDescent="0.15">
      <c r="B40" s="143"/>
      <c r="C40" s="146"/>
      <c r="D40" s="371"/>
      <c r="E40" s="372"/>
      <c r="F40" s="373"/>
      <c r="G40" s="146"/>
      <c r="H40" s="148"/>
      <c r="I40" s="146"/>
      <c r="J40" s="146"/>
      <c r="K40" s="143"/>
      <c r="L40" s="164"/>
      <c r="M40" s="314"/>
      <c r="N40" s="315"/>
      <c r="O40" s="315"/>
      <c r="P40" s="315"/>
      <c r="Q40" s="315"/>
      <c r="R40" s="315"/>
      <c r="S40" s="315"/>
      <c r="T40" s="315"/>
      <c r="U40" s="316"/>
      <c r="V40" s="166"/>
      <c r="W40" s="166"/>
      <c r="X40" s="144"/>
    </row>
    <row r="41" spans="2:24" ht="15" customHeight="1" x14ac:dyDescent="0.15">
      <c r="B41" s="143"/>
      <c r="C41" s="146"/>
      <c r="D41" s="371"/>
      <c r="E41" s="372"/>
      <c r="F41" s="373"/>
      <c r="G41" s="146"/>
      <c r="H41" s="148"/>
      <c r="I41" s="146"/>
      <c r="J41" s="146"/>
      <c r="K41" s="143"/>
      <c r="L41" s="164"/>
      <c r="M41" s="305"/>
      <c r="N41" s="305"/>
      <c r="O41" s="305"/>
      <c r="P41" s="305"/>
      <c r="Q41" s="305"/>
      <c r="R41" s="305"/>
      <c r="S41" s="305"/>
      <c r="T41" s="305"/>
      <c r="U41" s="305"/>
      <c r="V41" s="166"/>
      <c r="W41" s="166"/>
      <c r="X41" s="144"/>
    </row>
    <row r="42" spans="2:24" ht="15" customHeight="1" x14ac:dyDescent="0.15">
      <c r="B42" s="143"/>
      <c r="C42" s="374" t="s">
        <v>579</v>
      </c>
      <c r="D42" s="375"/>
      <c r="E42" s="375"/>
      <c r="F42" s="375"/>
      <c r="G42" s="375"/>
      <c r="H42" s="375"/>
      <c r="I42" s="375"/>
      <c r="J42" s="375"/>
      <c r="K42" s="143"/>
      <c r="L42" s="164"/>
      <c r="M42" s="305"/>
      <c r="N42" s="305"/>
      <c r="O42" s="305"/>
      <c r="P42" s="305"/>
      <c r="Q42" s="305"/>
      <c r="R42" s="305"/>
      <c r="S42" s="305"/>
      <c r="T42" s="305"/>
      <c r="U42" s="305"/>
      <c r="V42" s="166"/>
      <c r="W42" s="166"/>
      <c r="X42" s="144"/>
    </row>
    <row r="43" spans="2:24" ht="15" customHeight="1" x14ac:dyDescent="0.15">
      <c r="B43" s="143"/>
      <c r="C43" s="146" t="s">
        <v>821</v>
      </c>
      <c r="D43" s="146" t="s">
        <v>583</v>
      </c>
      <c r="E43" s="146">
        <v>18</v>
      </c>
      <c r="F43" s="146">
        <v>40</v>
      </c>
      <c r="G43" s="146">
        <v>4</v>
      </c>
      <c r="H43" s="146" t="s">
        <v>822</v>
      </c>
      <c r="I43" s="146" t="s">
        <v>678</v>
      </c>
      <c r="J43" s="146">
        <v>44000</v>
      </c>
      <c r="K43" s="143"/>
      <c r="L43" s="164"/>
      <c r="M43" s="305"/>
      <c r="N43" s="305"/>
      <c r="O43" s="305"/>
      <c r="P43" s="305"/>
      <c r="Q43" s="305"/>
      <c r="R43" s="305"/>
      <c r="S43" s="305"/>
      <c r="T43" s="305"/>
      <c r="U43" s="305"/>
      <c r="V43" s="166"/>
      <c r="W43" s="166"/>
      <c r="X43" s="144"/>
    </row>
    <row r="44" spans="2:24" ht="15" customHeight="1" x14ac:dyDescent="0.15">
      <c r="B44" s="143"/>
      <c r="C44" s="147" t="s">
        <v>580</v>
      </c>
      <c r="D44" s="374" t="s">
        <v>585</v>
      </c>
      <c r="E44" s="375"/>
      <c r="F44" s="377"/>
      <c r="G44" s="147" t="s">
        <v>341</v>
      </c>
      <c r="H44" s="147" t="s">
        <v>34</v>
      </c>
      <c r="I44" s="147" t="s">
        <v>222</v>
      </c>
      <c r="J44" s="147" t="s">
        <v>340</v>
      </c>
      <c r="K44" s="143"/>
      <c r="L44" s="164"/>
      <c r="M44" s="305"/>
      <c r="N44" s="305"/>
      <c r="O44" s="305"/>
      <c r="P44" s="305"/>
      <c r="Q44" s="305"/>
      <c r="R44" s="305"/>
      <c r="S44" s="305"/>
      <c r="T44" s="305"/>
      <c r="U44" s="305"/>
      <c r="V44" s="166"/>
      <c r="W44" s="166"/>
      <c r="X44" s="144"/>
    </row>
    <row r="45" spans="2:24" ht="15" customHeight="1" x14ac:dyDescent="0.15">
      <c r="B45" s="143"/>
      <c r="C45" s="146" t="s">
        <v>824</v>
      </c>
      <c r="D45" s="371" t="s">
        <v>691</v>
      </c>
      <c r="E45" s="372"/>
      <c r="F45" s="373"/>
      <c r="G45" s="146">
        <v>-1</v>
      </c>
      <c r="H45" s="148" t="s">
        <v>825</v>
      </c>
      <c r="I45" s="146" t="s">
        <v>686</v>
      </c>
      <c r="J45" s="146">
        <v>2000</v>
      </c>
      <c r="K45" s="143"/>
      <c r="L45" s="156" t="s">
        <v>826</v>
      </c>
      <c r="M45" s="156" t="s">
        <v>827</v>
      </c>
      <c r="N45" s="156" t="s">
        <v>338</v>
      </c>
      <c r="O45" s="156" t="s">
        <v>828</v>
      </c>
      <c r="P45" s="156" t="s">
        <v>727</v>
      </c>
      <c r="Q45" s="156" t="s">
        <v>49</v>
      </c>
      <c r="R45" s="156" t="s">
        <v>52</v>
      </c>
      <c r="S45" s="156" t="s">
        <v>846</v>
      </c>
      <c r="T45" s="156" t="s">
        <v>829</v>
      </c>
      <c r="U45" s="156" t="s">
        <v>830</v>
      </c>
      <c r="V45" s="156" t="s">
        <v>222</v>
      </c>
      <c r="W45" s="156" t="s">
        <v>242</v>
      </c>
      <c r="X45" s="144"/>
    </row>
    <row r="46" spans="2:24" ht="15" customHeight="1" x14ac:dyDescent="0.15">
      <c r="B46" s="143"/>
      <c r="C46" s="146"/>
      <c r="D46" s="371"/>
      <c r="E46" s="372"/>
      <c r="F46" s="373"/>
      <c r="G46" s="146"/>
      <c r="H46" s="148" t="s">
        <v>823</v>
      </c>
      <c r="I46" s="146"/>
      <c r="J46" s="146"/>
      <c r="K46" s="143"/>
      <c r="L46" s="164"/>
      <c r="M46" s="164"/>
      <c r="N46" s="164"/>
      <c r="O46" s="164"/>
      <c r="P46" s="164"/>
      <c r="Q46" s="164"/>
      <c r="R46" s="164"/>
      <c r="S46" s="164"/>
      <c r="T46" s="164"/>
      <c r="U46" s="164"/>
      <c r="V46" s="164"/>
      <c r="W46" s="164"/>
      <c r="X46" s="144"/>
    </row>
    <row r="47" spans="2:24" ht="15" customHeight="1" x14ac:dyDescent="0.15">
      <c r="B47" s="144"/>
      <c r="C47" s="146"/>
      <c r="D47" s="371"/>
      <c r="E47" s="372"/>
      <c r="F47" s="373"/>
      <c r="G47" s="146"/>
      <c r="H47" s="148"/>
      <c r="I47" s="146"/>
      <c r="J47" s="146"/>
      <c r="K47" s="144"/>
      <c r="L47" s="195" t="s">
        <v>34</v>
      </c>
      <c r="M47" s="196"/>
      <c r="N47" s="196"/>
      <c r="O47" s="196"/>
      <c r="P47" s="196"/>
      <c r="Q47" s="196"/>
      <c r="R47" s="196"/>
      <c r="S47" s="196"/>
      <c r="T47" s="196"/>
      <c r="U47" s="196"/>
      <c r="V47" s="196"/>
      <c r="W47" s="197"/>
      <c r="X47" s="144"/>
    </row>
    <row r="48" spans="2:24" ht="15" customHeight="1" x14ac:dyDescent="0.15">
      <c r="B48" s="144"/>
      <c r="C48" s="146"/>
      <c r="D48" s="371"/>
      <c r="E48" s="372"/>
      <c r="F48" s="373"/>
      <c r="G48" s="146"/>
      <c r="H48" s="148"/>
      <c r="I48" s="146"/>
      <c r="J48" s="146"/>
      <c r="K48" s="144"/>
      <c r="L48" s="378"/>
      <c r="M48" s="379"/>
      <c r="N48" s="379"/>
      <c r="O48" s="379"/>
      <c r="P48" s="379"/>
      <c r="Q48" s="379"/>
      <c r="R48" s="379"/>
      <c r="S48" s="379"/>
      <c r="T48" s="379"/>
      <c r="U48" s="379"/>
      <c r="V48" s="379"/>
      <c r="W48" s="380"/>
      <c r="X48" s="144"/>
    </row>
    <row r="49" spans="2:24" ht="15" customHeight="1" x14ac:dyDescent="0.15">
      <c r="B49" s="144"/>
      <c r="C49" s="146"/>
      <c r="D49" s="371"/>
      <c r="E49" s="372"/>
      <c r="F49" s="373"/>
      <c r="G49" s="146"/>
      <c r="H49" s="148"/>
      <c r="I49" s="146"/>
      <c r="J49" s="146"/>
      <c r="K49" s="144"/>
      <c r="L49" s="381"/>
      <c r="M49" s="382"/>
      <c r="N49" s="382"/>
      <c r="O49" s="382"/>
      <c r="P49" s="382"/>
      <c r="Q49" s="382"/>
      <c r="R49" s="382"/>
      <c r="S49" s="382"/>
      <c r="T49" s="382"/>
      <c r="U49" s="382"/>
      <c r="V49" s="382"/>
      <c r="W49" s="383"/>
      <c r="X49" s="144"/>
    </row>
    <row r="50" spans="2:24" ht="15" customHeight="1" x14ac:dyDescent="0.15">
      <c r="B50" s="144"/>
      <c r="C50" s="146"/>
      <c r="D50" s="371"/>
      <c r="E50" s="372"/>
      <c r="F50" s="373"/>
      <c r="G50" s="146"/>
      <c r="H50" s="148"/>
      <c r="I50" s="146"/>
      <c r="J50" s="146"/>
      <c r="K50" s="144"/>
      <c r="L50" s="381"/>
      <c r="M50" s="382"/>
      <c r="N50" s="382"/>
      <c r="O50" s="382"/>
      <c r="P50" s="382"/>
      <c r="Q50" s="382"/>
      <c r="R50" s="382"/>
      <c r="S50" s="382"/>
      <c r="T50" s="382"/>
      <c r="U50" s="382"/>
      <c r="V50" s="382"/>
      <c r="W50" s="383"/>
      <c r="X50" s="144"/>
    </row>
    <row r="51" spans="2:24" ht="15" customHeight="1" x14ac:dyDescent="0.15">
      <c r="B51" s="144"/>
      <c r="C51" s="146"/>
      <c r="D51" s="371"/>
      <c r="E51" s="372"/>
      <c r="F51" s="373"/>
      <c r="G51" s="146"/>
      <c r="H51" s="148"/>
      <c r="I51" s="146"/>
      <c r="J51" s="146"/>
      <c r="K51" s="144"/>
      <c r="L51" s="384"/>
      <c r="M51" s="385"/>
      <c r="N51" s="385"/>
      <c r="O51" s="385"/>
      <c r="P51" s="385"/>
      <c r="Q51" s="385"/>
      <c r="R51" s="385"/>
      <c r="S51" s="385"/>
      <c r="T51" s="385"/>
      <c r="U51" s="385"/>
      <c r="V51" s="385"/>
      <c r="W51" s="386"/>
      <c r="X51" s="144"/>
    </row>
    <row r="52" spans="2:24" ht="15" customHeight="1" x14ac:dyDescent="0.15">
      <c r="B52" s="144"/>
      <c r="C52" s="146"/>
      <c r="D52" s="371"/>
      <c r="E52" s="372"/>
      <c r="F52" s="373"/>
      <c r="G52" s="146"/>
      <c r="H52" s="148"/>
      <c r="I52" s="146"/>
      <c r="J52" s="146"/>
      <c r="K52" s="144"/>
      <c r="L52" s="160" t="s">
        <v>733</v>
      </c>
      <c r="M52" s="306" t="s">
        <v>732</v>
      </c>
      <c r="N52" s="306"/>
      <c r="O52" s="306"/>
      <c r="P52" s="306"/>
      <c r="Q52" s="306"/>
      <c r="R52" s="306"/>
      <c r="S52" s="306"/>
      <c r="T52" s="306"/>
      <c r="U52" s="306"/>
      <c r="V52" s="168" t="s">
        <v>181</v>
      </c>
      <c r="W52" s="168" t="s">
        <v>182</v>
      </c>
      <c r="X52" s="144"/>
    </row>
    <row r="53" spans="2:24" ht="15" customHeight="1" x14ac:dyDescent="0.15">
      <c r="B53" s="144"/>
      <c r="C53" s="374" t="s">
        <v>565</v>
      </c>
      <c r="D53" s="375"/>
      <c r="E53" s="375"/>
      <c r="F53" s="375"/>
      <c r="G53" s="375"/>
      <c r="H53" s="375"/>
      <c r="I53" s="375"/>
      <c r="J53" s="375"/>
      <c r="K53" s="144"/>
      <c r="L53" s="164"/>
      <c r="M53" s="314"/>
      <c r="N53" s="315"/>
      <c r="O53" s="315"/>
      <c r="P53" s="315"/>
      <c r="Q53" s="315"/>
      <c r="R53" s="315"/>
      <c r="S53" s="315"/>
      <c r="T53" s="315"/>
      <c r="U53" s="316"/>
      <c r="V53" s="166"/>
      <c r="W53" s="166"/>
      <c r="X53" s="144"/>
    </row>
    <row r="54" spans="2:24" ht="15" customHeight="1" x14ac:dyDescent="0.15">
      <c r="B54" s="144"/>
      <c r="C54" s="146" t="s">
        <v>572</v>
      </c>
      <c r="D54" s="146" t="s">
        <v>563</v>
      </c>
      <c r="E54" s="146">
        <v>15</v>
      </c>
      <c r="F54" s="146">
        <v>20</v>
      </c>
      <c r="G54" s="146">
        <v>2</v>
      </c>
      <c r="H54" s="146" t="s">
        <v>573</v>
      </c>
      <c r="I54" s="146" t="s">
        <v>569</v>
      </c>
      <c r="J54" s="146">
        <v>14000</v>
      </c>
      <c r="K54" s="144"/>
      <c r="L54" s="164"/>
      <c r="M54" s="305"/>
      <c r="N54" s="305"/>
      <c r="O54" s="305"/>
      <c r="P54" s="305"/>
      <c r="Q54" s="305"/>
      <c r="R54" s="305"/>
      <c r="S54" s="305"/>
      <c r="T54" s="305"/>
      <c r="U54" s="305"/>
      <c r="V54" s="166"/>
      <c r="W54" s="166"/>
      <c r="X54" s="144"/>
    </row>
    <row r="55" spans="2:24" ht="15" customHeight="1" x14ac:dyDescent="0.15">
      <c r="B55" s="144"/>
      <c r="C55" s="147" t="s">
        <v>575</v>
      </c>
      <c r="D55" s="374" t="s">
        <v>585</v>
      </c>
      <c r="E55" s="375"/>
      <c r="F55" s="377"/>
      <c r="G55" s="147" t="s">
        <v>341</v>
      </c>
      <c r="H55" s="147" t="s">
        <v>34</v>
      </c>
      <c r="I55" s="147" t="s">
        <v>222</v>
      </c>
      <c r="J55" s="147" t="s">
        <v>340</v>
      </c>
      <c r="K55" s="144"/>
      <c r="L55" s="164"/>
      <c r="M55" s="305"/>
      <c r="N55" s="305"/>
      <c r="O55" s="305"/>
      <c r="P55" s="305"/>
      <c r="Q55" s="305"/>
      <c r="R55" s="305"/>
      <c r="S55" s="305"/>
      <c r="T55" s="305"/>
      <c r="U55" s="305"/>
      <c r="V55" s="166"/>
      <c r="W55" s="166"/>
      <c r="X55" s="144"/>
    </row>
    <row r="56" spans="2:24" ht="15" customHeight="1" x14ac:dyDescent="0.15">
      <c r="B56" s="144"/>
      <c r="C56" s="146" t="s">
        <v>692</v>
      </c>
      <c r="D56" s="371" t="s">
        <v>694</v>
      </c>
      <c r="E56" s="372"/>
      <c r="F56" s="373"/>
      <c r="G56" s="146">
        <v>-2</v>
      </c>
      <c r="H56" s="148" t="s">
        <v>693</v>
      </c>
      <c r="I56" s="146" t="s">
        <v>678</v>
      </c>
      <c r="J56" s="146">
        <v>3000</v>
      </c>
      <c r="K56" s="144"/>
      <c r="L56" s="164"/>
      <c r="M56" s="305"/>
      <c r="N56" s="305"/>
      <c r="O56" s="305"/>
      <c r="P56" s="305"/>
      <c r="Q56" s="305"/>
      <c r="R56" s="305"/>
      <c r="S56" s="305"/>
      <c r="T56" s="305"/>
      <c r="U56" s="305"/>
      <c r="V56" s="166"/>
      <c r="W56" s="166"/>
      <c r="X56" s="144"/>
    </row>
    <row r="57" spans="2:24" ht="15" customHeight="1" x14ac:dyDescent="0.15">
      <c r="B57" s="144"/>
      <c r="C57" s="146"/>
      <c r="D57" s="371"/>
      <c r="E57" s="372"/>
      <c r="F57" s="373"/>
      <c r="G57" s="146"/>
      <c r="H57" s="148"/>
      <c r="I57" s="146"/>
      <c r="J57" s="146"/>
      <c r="K57" s="144"/>
      <c r="L57" s="164"/>
      <c r="M57" s="305"/>
      <c r="N57" s="305"/>
      <c r="O57" s="305"/>
      <c r="P57" s="305"/>
      <c r="Q57" s="305"/>
      <c r="R57" s="305"/>
      <c r="S57" s="305"/>
      <c r="T57" s="305"/>
      <c r="U57" s="305"/>
      <c r="V57" s="166"/>
      <c r="W57" s="166"/>
      <c r="X57" s="144"/>
    </row>
    <row r="58" spans="2:24" ht="15" customHeight="1" x14ac:dyDescent="0.15">
      <c r="B58" s="144"/>
      <c r="C58" s="146"/>
      <c r="D58" s="371"/>
      <c r="E58" s="372"/>
      <c r="F58" s="373"/>
      <c r="G58" s="146"/>
      <c r="H58" s="148"/>
      <c r="I58" s="146"/>
      <c r="J58" s="146"/>
      <c r="K58" s="144"/>
      <c r="L58" s="156" t="s">
        <v>826</v>
      </c>
      <c r="M58" s="156" t="s">
        <v>827</v>
      </c>
      <c r="N58" s="156" t="s">
        <v>338</v>
      </c>
      <c r="O58" s="156" t="s">
        <v>828</v>
      </c>
      <c r="P58" s="156" t="s">
        <v>727</v>
      </c>
      <c r="Q58" s="156" t="s">
        <v>49</v>
      </c>
      <c r="R58" s="156" t="s">
        <v>52</v>
      </c>
      <c r="S58" s="156" t="s">
        <v>846</v>
      </c>
      <c r="T58" s="156" t="s">
        <v>829</v>
      </c>
      <c r="U58" s="156" t="s">
        <v>830</v>
      </c>
      <c r="V58" s="156" t="s">
        <v>222</v>
      </c>
      <c r="W58" s="156" t="s">
        <v>242</v>
      </c>
      <c r="X58" s="144"/>
    </row>
    <row r="59" spans="2:24" ht="15" customHeight="1" x14ac:dyDescent="0.15">
      <c r="B59" s="144"/>
      <c r="C59" s="146"/>
      <c r="D59" s="371"/>
      <c r="E59" s="372"/>
      <c r="F59" s="373"/>
      <c r="G59" s="146"/>
      <c r="H59" s="148"/>
      <c r="I59" s="146"/>
      <c r="J59" s="146"/>
      <c r="K59" s="144"/>
      <c r="L59" s="164"/>
      <c r="M59" s="164"/>
      <c r="N59" s="164"/>
      <c r="O59" s="164"/>
      <c r="P59" s="164"/>
      <c r="Q59" s="164"/>
      <c r="R59" s="164"/>
      <c r="S59" s="164"/>
      <c r="T59" s="164"/>
      <c r="U59" s="164"/>
      <c r="V59" s="164"/>
      <c r="W59" s="164"/>
      <c r="X59" s="144"/>
    </row>
    <row r="60" spans="2:24" ht="15" customHeight="1" x14ac:dyDescent="0.15">
      <c r="B60" s="144"/>
      <c r="C60" s="146"/>
      <c r="D60" s="371"/>
      <c r="E60" s="372"/>
      <c r="F60" s="373"/>
      <c r="G60" s="146"/>
      <c r="H60" s="148"/>
      <c r="I60" s="146"/>
      <c r="J60" s="146"/>
      <c r="K60" s="144"/>
      <c r="L60" s="195" t="s">
        <v>34</v>
      </c>
      <c r="M60" s="196"/>
      <c r="N60" s="196"/>
      <c r="O60" s="196"/>
      <c r="P60" s="196"/>
      <c r="Q60" s="196"/>
      <c r="R60" s="196"/>
      <c r="S60" s="196"/>
      <c r="T60" s="196"/>
      <c r="U60" s="196"/>
      <c r="V60" s="196"/>
      <c r="W60" s="197"/>
      <c r="X60" s="144"/>
    </row>
    <row r="61" spans="2:24" ht="15" customHeight="1" x14ac:dyDescent="0.15">
      <c r="B61" s="144"/>
      <c r="C61" s="146"/>
      <c r="D61" s="371"/>
      <c r="E61" s="372"/>
      <c r="F61" s="373"/>
      <c r="G61" s="146"/>
      <c r="H61" s="148"/>
      <c r="I61" s="146"/>
      <c r="J61" s="146"/>
      <c r="K61" s="144"/>
      <c r="L61" s="378"/>
      <c r="M61" s="379"/>
      <c r="N61" s="379"/>
      <c r="O61" s="379"/>
      <c r="P61" s="379"/>
      <c r="Q61" s="379"/>
      <c r="R61" s="379"/>
      <c r="S61" s="379"/>
      <c r="T61" s="379"/>
      <c r="U61" s="379"/>
      <c r="V61" s="379"/>
      <c r="W61" s="380"/>
      <c r="X61" s="144"/>
    </row>
    <row r="62" spans="2:24" ht="15" customHeight="1" x14ac:dyDescent="0.15">
      <c r="B62" s="144"/>
      <c r="C62" s="146"/>
      <c r="D62" s="371"/>
      <c r="E62" s="372"/>
      <c r="F62" s="373"/>
      <c r="G62" s="146"/>
      <c r="H62" s="149"/>
      <c r="I62" s="146"/>
      <c r="J62" s="146"/>
      <c r="K62" s="144"/>
      <c r="L62" s="381"/>
      <c r="M62" s="382"/>
      <c r="N62" s="382"/>
      <c r="O62" s="382"/>
      <c r="P62" s="382"/>
      <c r="Q62" s="382"/>
      <c r="R62" s="382"/>
      <c r="S62" s="382"/>
      <c r="T62" s="382"/>
      <c r="U62" s="382"/>
      <c r="V62" s="382"/>
      <c r="W62" s="383"/>
      <c r="X62" s="144"/>
    </row>
    <row r="63" spans="2:24" ht="15" customHeight="1" x14ac:dyDescent="0.15">
      <c r="B63" s="144"/>
      <c r="C63" s="146"/>
      <c r="D63" s="371"/>
      <c r="E63" s="372"/>
      <c r="F63" s="373"/>
      <c r="G63" s="146"/>
      <c r="H63" s="150"/>
      <c r="I63" s="146"/>
      <c r="J63" s="146"/>
      <c r="K63" s="144"/>
      <c r="L63" s="381"/>
      <c r="M63" s="382"/>
      <c r="N63" s="382"/>
      <c r="O63" s="382"/>
      <c r="P63" s="382"/>
      <c r="Q63" s="382"/>
      <c r="R63" s="382"/>
      <c r="S63" s="382"/>
      <c r="T63" s="382"/>
      <c r="U63" s="382"/>
      <c r="V63" s="382"/>
      <c r="W63" s="383"/>
      <c r="X63" s="144"/>
    </row>
    <row r="64" spans="2:24" ht="15" customHeight="1" x14ac:dyDescent="0.15">
      <c r="B64" s="144"/>
      <c r="C64" s="374" t="s">
        <v>564</v>
      </c>
      <c r="D64" s="375"/>
      <c r="E64" s="375"/>
      <c r="F64" s="375"/>
      <c r="G64" s="375"/>
      <c r="H64" s="375"/>
      <c r="I64" s="375"/>
      <c r="J64" s="375"/>
      <c r="K64" s="144"/>
      <c r="L64" s="384"/>
      <c r="M64" s="385"/>
      <c r="N64" s="385"/>
      <c r="O64" s="385"/>
      <c r="P64" s="385"/>
      <c r="Q64" s="385"/>
      <c r="R64" s="385"/>
      <c r="S64" s="385"/>
      <c r="T64" s="385"/>
      <c r="U64" s="385"/>
      <c r="V64" s="385"/>
      <c r="W64" s="386"/>
      <c r="X64" s="144"/>
    </row>
    <row r="65" spans="2:24" ht="15" customHeight="1" x14ac:dyDescent="0.15">
      <c r="B65" s="144"/>
      <c r="C65" s="146" t="s">
        <v>572</v>
      </c>
      <c r="D65" s="146" t="s">
        <v>563</v>
      </c>
      <c r="E65" s="146">
        <v>15</v>
      </c>
      <c r="F65" s="146">
        <v>20</v>
      </c>
      <c r="G65" s="146">
        <v>2</v>
      </c>
      <c r="H65" s="146" t="s">
        <v>573</v>
      </c>
      <c r="I65" s="146" t="s">
        <v>569</v>
      </c>
      <c r="J65" s="146">
        <v>14000</v>
      </c>
      <c r="K65" s="144"/>
      <c r="L65" s="160" t="s">
        <v>733</v>
      </c>
      <c r="M65" s="306" t="s">
        <v>732</v>
      </c>
      <c r="N65" s="306"/>
      <c r="O65" s="306"/>
      <c r="P65" s="306"/>
      <c r="Q65" s="306"/>
      <c r="R65" s="306"/>
      <c r="S65" s="306"/>
      <c r="T65" s="306"/>
      <c r="U65" s="306"/>
      <c r="V65" s="168" t="s">
        <v>181</v>
      </c>
      <c r="W65" s="168" t="s">
        <v>182</v>
      </c>
      <c r="X65" s="144"/>
    </row>
    <row r="66" spans="2:24" ht="15" customHeight="1" x14ac:dyDescent="0.15">
      <c r="B66" s="144"/>
      <c r="C66" s="147" t="s">
        <v>576</v>
      </c>
      <c r="D66" s="374" t="s">
        <v>585</v>
      </c>
      <c r="E66" s="375"/>
      <c r="F66" s="377"/>
      <c r="G66" s="147" t="s">
        <v>341</v>
      </c>
      <c r="H66" s="147" t="s">
        <v>34</v>
      </c>
      <c r="I66" s="147" t="s">
        <v>222</v>
      </c>
      <c r="J66" s="147" t="s">
        <v>340</v>
      </c>
      <c r="K66" s="144"/>
      <c r="L66" s="164"/>
      <c r="M66" s="314"/>
      <c r="N66" s="315"/>
      <c r="O66" s="315"/>
      <c r="P66" s="315"/>
      <c r="Q66" s="315"/>
      <c r="R66" s="315"/>
      <c r="S66" s="315"/>
      <c r="T66" s="315"/>
      <c r="U66" s="316"/>
      <c r="V66" s="166"/>
      <c r="W66" s="166"/>
      <c r="X66" s="144"/>
    </row>
    <row r="67" spans="2:24" ht="15" customHeight="1" x14ac:dyDescent="0.15">
      <c r="B67" s="144"/>
      <c r="C67" s="146" t="s">
        <v>692</v>
      </c>
      <c r="D67" s="371" t="s">
        <v>694</v>
      </c>
      <c r="E67" s="372"/>
      <c r="F67" s="373"/>
      <c r="G67" s="146">
        <v>-2</v>
      </c>
      <c r="H67" s="148" t="s">
        <v>693</v>
      </c>
      <c r="I67" s="146" t="s">
        <v>678</v>
      </c>
      <c r="J67" s="146">
        <v>3000</v>
      </c>
      <c r="K67" s="144"/>
      <c r="L67" s="164"/>
      <c r="M67" s="305"/>
      <c r="N67" s="305"/>
      <c r="O67" s="305"/>
      <c r="P67" s="305"/>
      <c r="Q67" s="305"/>
      <c r="R67" s="305"/>
      <c r="S67" s="305"/>
      <c r="T67" s="305"/>
      <c r="U67" s="305"/>
      <c r="V67" s="166"/>
      <c r="W67" s="166"/>
      <c r="X67" s="144"/>
    </row>
    <row r="68" spans="2:24" ht="15" customHeight="1" x14ac:dyDescent="0.15">
      <c r="B68" s="144"/>
      <c r="C68" s="146"/>
      <c r="D68" s="371"/>
      <c r="E68" s="372"/>
      <c r="F68" s="373"/>
      <c r="G68" s="146"/>
      <c r="H68" s="148"/>
      <c r="I68" s="146"/>
      <c r="J68" s="146"/>
      <c r="K68" s="144"/>
      <c r="L68" s="164"/>
      <c r="M68" s="305"/>
      <c r="N68" s="305"/>
      <c r="O68" s="305"/>
      <c r="P68" s="305"/>
      <c r="Q68" s="305"/>
      <c r="R68" s="305"/>
      <c r="S68" s="305"/>
      <c r="T68" s="305"/>
      <c r="U68" s="305"/>
      <c r="V68" s="166"/>
      <c r="W68" s="166"/>
      <c r="X68" s="144"/>
    </row>
    <row r="69" spans="2:24" ht="15" customHeight="1" x14ac:dyDescent="0.15">
      <c r="B69" s="144"/>
      <c r="C69" s="146"/>
      <c r="D69" s="371"/>
      <c r="E69" s="372"/>
      <c r="F69" s="373"/>
      <c r="G69" s="146"/>
      <c r="H69" s="148"/>
      <c r="I69" s="146"/>
      <c r="J69" s="146"/>
      <c r="K69" s="144"/>
      <c r="L69" s="164"/>
      <c r="M69" s="305"/>
      <c r="N69" s="305"/>
      <c r="O69" s="305"/>
      <c r="P69" s="305"/>
      <c r="Q69" s="305"/>
      <c r="R69" s="305"/>
      <c r="S69" s="305"/>
      <c r="T69" s="305"/>
      <c r="U69" s="305"/>
      <c r="V69" s="166"/>
      <c r="W69" s="166"/>
      <c r="X69" s="144"/>
    </row>
    <row r="70" spans="2:24" ht="15" customHeight="1" x14ac:dyDescent="0.15">
      <c r="B70" s="144"/>
      <c r="C70" s="146"/>
      <c r="D70" s="371"/>
      <c r="E70" s="372"/>
      <c r="F70" s="373"/>
      <c r="G70" s="146"/>
      <c r="H70" s="148"/>
      <c r="I70" s="146"/>
      <c r="J70" s="146"/>
      <c r="K70" s="144"/>
      <c r="L70" s="164"/>
      <c r="M70" s="305"/>
      <c r="N70" s="305"/>
      <c r="O70" s="305"/>
      <c r="P70" s="305"/>
      <c r="Q70" s="305"/>
      <c r="R70" s="305"/>
      <c r="S70" s="305"/>
      <c r="T70" s="305"/>
      <c r="U70" s="305"/>
      <c r="V70" s="166"/>
      <c r="W70" s="166"/>
      <c r="X70" s="144"/>
    </row>
    <row r="71" spans="2:24" ht="15" customHeight="1" x14ac:dyDescent="0.15">
      <c r="B71" s="144"/>
      <c r="C71" s="146"/>
      <c r="D71" s="371"/>
      <c r="E71" s="372"/>
      <c r="F71" s="373"/>
      <c r="G71" s="146"/>
      <c r="H71" s="148"/>
      <c r="I71" s="146"/>
      <c r="J71" s="146"/>
      <c r="K71" s="144"/>
      <c r="L71" s="144"/>
      <c r="M71" s="144"/>
      <c r="N71" s="144"/>
      <c r="O71" s="144"/>
      <c r="P71" s="144"/>
      <c r="Q71" s="144"/>
      <c r="R71" s="144"/>
      <c r="S71" s="144"/>
      <c r="T71" s="144"/>
      <c r="U71" s="144"/>
      <c r="V71" s="144"/>
      <c r="W71" s="144"/>
      <c r="X71" s="144"/>
    </row>
    <row r="72" spans="2:24" ht="15" customHeight="1" x14ac:dyDescent="0.15">
      <c r="B72" s="144"/>
      <c r="C72" s="146"/>
      <c r="D72" s="371"/>
      <c r="E72" s="372"/>
      <c r="F72" s="373"/>
      <c r="G72" s="146"/>
      <c r="H72" s="148"/>
      <c r="I72" s="146"/>
      <c r="J72" s="146"/>
      <c r="K72" s="144"/>
    </row>
    <row r="73" spans="2:24" ht="15" customHeight="1" x14ac:dyDescent="0.15">
      <c r="B73" s="144"/>
      <c r="C73" s="146"/>
      <c r="D73" s="371"/>
      <c r="E73" s="372"/>
      <c r="F73" s="373"/>
      <c r="G73" s="146"/>
      <c r="H73" s="148"/>
      <c r="I73" s="146"/>
      <c r="J73" s="146"/>
      <c r="K73" s="144"/>
    </row>
    <row r="74" spans="2:24" ht="15" customHeight="1" x14ac:dyDescent="0.15">
      <c r="B74" s="144"/>
      <c r="C74" s="146"/>
      <c r="D74" s="371"/>
      <c r="E74" s="372"/>
      <c r="F74" s="373"/>
      <c r="G74" s="146"/>
      <c r="H74" s="149"/>
      <c r="I74" s="146"/>
      <c r="J74" s="146"/>
      <c r="K74" s="144"/>
    </row>
    <row r="75" spans="2:24" ht="15" customHeight="1" x14ac:dyDescent="0.15">
      <c r="B75" s="144"/>
      <c r="C75" s="143"/>
      <c r="D75" s="143"/>
      <c r="E75" s="143"/>
      <c r="F75" s="143"/>
      <c r="G75" s="143"/>
      <c r="H75" s="143"/>
      <c r="I75" s="143"/>
      <c r="J75" s="143"/>
      <c r="K75" s="144"/>
    </row>
  </sheetData>
  <mergeCells count="98">
    <mergeCell ref="M67:U67"/>
    <mergeCell ref="M68:U68"/>
    <mergeCell ref="M69:U69"/>
    <mergeCell ref="M70:U70"/>
    <mergeCell ref="M56:U56"/>
    <mergeCell ref="M57:U57"/>
    <mergeCell ref="L61:W64"/>
    <mergeCell ref="M65:U65"/>
    <mergeCell ref="M66:U66"/>
    <mergeCell ref="L48:W51"/>
    <mergeCell ref="M52:U52"/>
    <mergeCell ref="M53:U53"/>
    <mergeCell ref="M54:U54"/>
    <mergeCell ref="M55:U55"/>
    <mergeCell ref="M40:U40"/>
    <mergeCell ref="M41:U41"/>
    <mergeCell ref="M42:U42"/>
    <mergeCell ref="M43:U43"/>
    <mergeCell ref="M44:U44"/>
    <mergeCell ref="M29:U29"/>
    <mergeCell ref="M30:U30"/>
    <mergeCell ref="M31:U31"/>
    <mergeCell ref="L35:W38"/>
    <mergeCell ref="M39:U39"/>
    <mergeCell ref="M18:U18"/>
    <mergeCell ref="L22:W25"/>
    <mergeCell ref="M26:U26"/>
    <mergeCell ref="M27:U27"/>
    <mergeCell ref="M28:U28"/>
    <mergeCell ref="M13:U13"/>
    <mergeCell ref="M14:U14"/>
    <mergeCell ref="M15:U15"/>
    <mergeCell ref="M16:U16"/>
    <mergeCell ref="M17:U17"/>
    <mergeCell ref="L9:W12"/>
    <mergeCell ref="D68:F68"/>
    <mergeCell ref="D69:F69"/>
    <mergeCell ref="D70:F70"/>
    <mergeCell ref="D71:F71"/>
    <mergeCell ref="D62:F62"/>
    <mergeCell ref="D59:F59"/>
    <mergeCell ref="D63:F63"/>
    <mergeCell ref="D67:F67"/>
    <mergeCell ref="D12:F12"/>
    <mergeCell ref="D13:F13"/>
    <mergeCell ref="D14:F14"/>
    <mergeCell ref="D19:F19"/>
    <mergeCell ref="D16:F16"/>
    <mergeCell ref="D15:F15"/>
    <mergeCell ref="D18:F18"/>
    <mergeCell ref="D72:F72"/>
    <mergeCell ref="D73:F73"/>
    <mergeCell ref="D74:F74"/>
    <mergeCell ref="D22:F22"/>
    <mergeCell ref="D33:F33"/>
    <mergeCell ref="D44:F44"/>
    <mergeCell ref="D55:F55"/>
    <mergeCell ref="D66:F66"/>
    <mergeCell ref="C31:J31"/>
    <mergeCell ref="C64:J64"/>
    <mergeCell ref="C53:J53"/>
    <mergeCell ref="C42:J42"/>
    <mergeCell ref="D56:F56"/>
    <mergeCell ref="D57:F57"/>
    <mergeCell ref="D58:F58"/>
    <mergeCell ref="D61:F61"/>
    <mergeCell ref="B2:C2"/>
    <mergeCell ref="D9:F9"/>
    <mergeCell ref="D10:F10"/>
    <mergeCell ref="C7:J7"/>
    <mergeCell ref="D11:F11"/>
    <mergeCell ref="D26:F26"/>
    <mergeCell ref="D27:F27"/>
    <mergeCell ref="D29:F29"/>
    <mergeCell ref="D30:F30"/>
    <mergeCell ref="D34:F34"/>
    <mergeCell ref="C20:J20"/>
    <mergeCell ref="D60:F60"/>
    <mergeCell ref="D17:F17"/>
    <mergeCell ref="D23:F23"/>
    <mergeCell ref="D24:F24"/>
    <mergeCell ref="D25:F25"/>
    <mergeCell ref="D28:F28"/>
    <mergeCell ref="D45:F45"/>
    <mergeCell ref="D46:F46"/>
    <mergeCell ref="D49:F49"/>
    <mergeCell ref="D37:F37"/>
    <mergeCell ref="D50:F50"/>
    <mergeCell ref="D51:F51"/>
    <mergeCell ref="D52:F52"/>
    <mergeCell ref="D35:F35"/>
    <mergeCell ref="D36:F36"/>
    <mergeCell ref="D48:F48"/>
    <mergeCell ref="D38:F38"/>
    <mergeCell ref="D39:F39"/>
    <mergeCell ref="D40:F40"/>
    <mergeCell ref="D41:F41"/>
    <mergeCell ref="D47:F47"/>
  </mergeCells>
  <phoneticPr fontId="45" type="noConversion"/>
  <pageMargins left="0.75" right="0.75" top="1" bottom="1" header="0.5" footer="0.5"/>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63"/>
  <sheetViews>
    <sheetView zoomScaleNormal="100" workbookViewId="0">
      <selection activeCell="M47" sqref="M47"/>
    </sheetView>
  </sheetViews>
  <sheetFormatPr defaultColWidth="9" defaultRowHeight="20.100000000000001" customHeight="1" x14ac:dyDescent="0.15"/>
  <cols>
    <col min="1" max="1" width="11.625" style="69" bestFit="1" customWidth="1"/>
    <col min="2" max="2" width="7.5" style="69" bestFit="1" customWidth="1"/>
    <col min="3" max="8" width="9" style="69"/>
    <col min="9" max="9" width="2.625" style="69" customWidth="1"/>
    <col min="10" max="10" width="5.5" style="69" bestFit="1" customWidth="1"/>
    <col min="11" max="11" width="13.875" style="69" bestFit="1" customWidth="1"/>
    <col min="12" max="12" width="106" style="69" customWidth="1"/>
    <col min="13" max="13" width="12.75" style="69" bestFit="1" customWidth="1"/>
    <col min="14" max="14" width="22.75" style="69" bestFit="1" customWidth="1"/>
    <col min="15" max="15" width="2.625" style="69" customWidth="1"/>
    <col min="16" max="16" width="19.375" style="69" bestFit="1" customWidth="1"/>
    <col min="17" max="16384" width="9" style="69"/>
  </cols>
  <sheetData>
    <row r="1" spans="1:16" ht="20.100000000000001" customHeight="1" thickBot="1" x14ac:dyDescent="0.2">
      <c r="A1" s="438" t="s">
        <v>345</v>
      </c>
      <c r="B1" s="439"/>
      <c r="C1" s="439"/>
      <c r="D1" s="439"/>
      <c r="E1" s="439"/>
      <c r="F1" s="439"/>
      <c r="G1" s="439"/>
      <c r="H1" s="440"/>
      <c r="J1" s="394" t="s">
        <v>490</v>
      </c>
      <c r="K1" s="395"/>
      <c r="L1" s="395"/>
      <c r="M1" s="395"/>
      <c r="N1" s="396"/>
      <c r="P1" s="77" t="s">
        <v>493</v>
      </c>
    </row>
    <row r="2" spans="1:16" ht="20.100000000000001" customHeight="1" thickBot="1" x14ac:dyDescent="0.2">
      <c r="A2" s="173" t="s">
        <v>346</v>
      </c>
      <c r="B2" s="73" t="s">
        <v>347</v>
      </c>
      <c r="C2" s="73" t="s">
        <v>348</v>
      </c>
      <c r="D2" s="73" t="s">
        <v>349</v>
      </c>
      <c r="E2" s="73" t="s">
        <v>350</v>
      </c>
      <c r="F2" s="73" t="s">
        <v>351</v>
      </c>
      <c r="G2" s="73" t="s">
        <v>352</v>
      </c>
      <c r="H2" s="73" t="s">
        <v>353</v>
      </c>
      <c r="J2" s="58" t="s">
        <v>354</v>
      </c>
      <c r="K2" s="59" t="s">
        <v>355</v>
      </c>
      <c r="L2" s="59" t="s">
        <v>356</v>
      </c>
      <c r="M2" s="59" t="s">
        <v>357</v>
      </c>
      <c r="N2" s="59" t="s">
        <v>358</v>
      </c>
      <c r="P2" s="77" t="s">
        <v>494</v>
      </c>
    </row>
    <row r="3" spans="1:16" ht="20.100000000000001" customHeight="1" thickBot="1" x14ac:dyDescent="0.2">
      <c r="A3" s="174" t="s">
        <v>65</v>
      </c>
      <c r="B3" s="172">
        <v>8</v>
      </c>
      <c r="C3" s="172">
        <v>14</v>
      </c>
      <c r="D3" s="172">
        <v>20</v>
      </c>
      <c r="E3" s="172">
        <v>26</v>
      </c>
      <c r="F3" s="172">
        <v>30</v>
      </c>
      <c r="G3" s="172" t="s">
        <v>139</v>
      </c>
      <c r="H3" s="172" t="s">
        <v>139</v>
      </c>
      <c r="J3" s="206">
        <v>2</v>
      </c>
      <c r="K3" s="61" t="s">
        <v>359</v>
      </c>
      <c r="L3" s="61" t="s">
        <v>499</v>
      </c>
      <c r="M3" s="61" t="s">
        <v>139</v>
      </c>
      <c r="N3" s="61" t="s">
        <v>500</v>
      </c>
      <c r="P3" s="77" t="s">
        <v>487</v>
      </c>
    </row>
    <row r="4" spans="1:16" ht="20.100000000000001" customHeight="1" thickBot="1" x14ac:dyDescent="0.2">
      <c r="A4" s="174" t="s">
        <v>360</v>
      </c>
      <c r="B4" s="172">
        <v>10</v>
      </c>
      <c r="C4" s="172">
        <v>12</v>
      </c>
      <c r="D4" s="172">
        <v>16</v>
      </c>
      <c r="E4" s="172">
        <v>20</v>
      </c>
      <c r="F4" s="172">
        <v>25</v>
      </c>
      <c r="G4" s="172">
        <v>30</v>
      </c>
      <c r="H4" s="172" t="s">
        <v>139</v>
      </c>
      <c r="J4" s="205">
        <v>3</v>
      </c>
      <c r="K4" s="63" t="s">
        <v>361</v>
      </c>
      <c r="L4" s="63" t="s">
        <v>501</v>
      </c>
      <c r="M4" s="63" t="s">
        <v>502</v>
      </c>
      <c r="N4" s="63" t="s">
        <v>503</v>
      </c>
      <c r="P4" s="77" t="s">
        <v>488</v>
      </c>
    </row>
    <row r="5" spans="1:16" ht="20.100000000000001" customHeight="1" thickBot="1" x14ac:dyDescent="0.2">
      <c r="A5" s="174" t="s">
        <v>530</v>
      </c>
      <c r="B5" s="172">
        <v>11</v>
      </c>
      <c r="C5" s="172">
        <v>13</v>
      </c>
      <c r="D5" s="172">
        <v>16</v>
      </c>
      <c r="E5" s="172">
        <v>18</v>
      </c>
      <c r="F5" s="172">
        <v>23</v>
      </c>
      <c r="G5" s="172" t="s">
        <v>139</v>
      </c>
      <c r="H5" s="172" t="s">
        <v>139</v>
      </c>
      <c r="J5" s="206">
        <v>4</v>
      </c>
      <c r="K5" s="61" t="s">
        <v>363</v>
      </c>
      <c r="L5" s="61" t="s">
        <v>504</v>
      </c>
      <c r="M5" s="61" t="s">
        <v>505</v>
      </c>
      <c r="N5" s="61" t="s">
        <v>503</v>
      </c>
      <c r="P5" s="77" t="s">
        <v>495</v>
      </c>
    </row>
    <row r="6" spans="1:16" ht="20.100000000000001" customHeight="1" thickBot="1" x14ac:dyDescent="0.2">
      <c r="A6" s="174" t="s">
        <v>362</v>
      </c>
      <c r="B6" s="172">
        <v>12</v>
      </c>
      <c r="C6" s="172">
        <v>13</v>
      </c>
      <c r="D6" s="172">
        <v>14</v>
      </c>
      <c r="E6" s="172">
        <v>16</v>
      </c>
      <c r="F6" s="172">
        <v>20</v>
      </c>
      <c r="G6" s="172">
        <v>24</v>
      </c>
      <c r="H6" s="172">
        <v>28</v>
      </c>
      <c r="J6" s="392">
        <v>5</v>
      </c>
      <c r="K6" s="392" t="s">
        <v>365</v>
      </c>
      <c r="L6" s="390" t="s">
        <v>506</v>
      </c>
      <c r="M6" s="392" t="s">
        <v>139</v>
      </c>
      <c r="N6" s="390" t="s">
        <v>500</v>
      </c>
      <c r="P6" s="77" t="s">
        <v>486</v>
      </c>
    </row>
    <row r="7" spans="1:16" ht="20.100000000000001" customHeight="1" thickBot="1" x14ac:dyDescent="0.2">
      <c r="A7" s="174" t="s">
        <v>364</v>
      </c>
      <c r="B7" s="172">
        <v>14</v>
      </c>
      <c r="C7" s="172">
        <v>10</v>
      </c>
      <c r="D7" s="172">
        <v>13</v>
      </c>
      <c r="E7" s="172">
        <v>17</v>
      </c>
      <c r="F7" s="172">
        <v>21</v>
      </c>
      <c r="G7" s="172" t="s">
        <v>139</v>
      </c>
      <c r="H7" s="172" t="s">
        <v>139</v>
      </c>
      <c r="J7" s="393"/>
      <c r="K7" s="393"/>
      <c r="L7" s="391"/>
      <c r="M7" s="393"/>
      <c r="N7" s="391"/>
      <c r="P7" s="77" t="s">
        <v>489</v>
      </c>
    </row>
    <row r="8" spans="1:16" ht="20.100000000000001" customHeight="1" thickBot="1" x14ac:dyDescent="0.2">
      <c r="A8" s="174" t="s">
        <v>366</v>
      </c>
      <c r="B8" s="172">
        <v>16</v>
      </c>
      <c r="C8" s="172">
        <v>14</v>
      </c>
      <c r="D8" s="172">
        <v>12</v>
      </c>
      <c r="E8" s="172">
        <v>14</v>
      </c>
      <c r="F8" s="172">
        <v>16</v>
      </c>
      <c r="G8" s="172">
        <v>18</v>
      </c>
      <c r="H8" s="172">
        <v>22</v>
      </c>
      <c r="J8" s="206">
        <v>6</v>
      </c>
      <c r="K8" s="61" t="s">
        <v>368</v>
      </c>
      <c r="L8" s="441" t="s">
        <v>507</v>
      </c>
      <c r="M8" s="61" t="s">
        <v>508</v>
      </c>
      <c r="N8" s="61" t="s">
        <v>509</v>
      </c>
      <c r="P8"/>
    </row>
    <row r="9" spans="1:16" ht="20.100000000000001" customHeight="1" thickBot="1" x14ac:dyDescent="0.2">
      <c r="A9" s="174" t="s">
        <v>367</v>
      </c>
      <c r="B9" s="172">
        <v>14</v>
      </c>
      <c r="C9" s="172">
        <v>15</v>
      </c>
      <c r="D9" s="172">
        <v>17</v>
      </c>
      <c r="E9" s="172">
        <v>19</v>
      </c>
      <c r="F9" s="172">
        <v>21</v>
      </c>
      <c r="G9" s="172">
        <v>25</v>
      </c>
      <c r="H9" s="172">
        <v>28</v>
      </c>
      <c r="J9" s="392">
        <v>7</v>
      </c>
      <c r="K9" s="392" t="s">
        <v>370</v>
      </c>
      <c r="L9" s="390" t="s">
        <v>510</v>
      </c>
      <c r="M9" s="392" t="s">
        <v>511</v>
      </c>
      <c r="N9" s="390" t="s">
        <v>371</v>
      </c>
      <c r="P9"/>
    </row>
    <row r="10" spans="1:16" ht="20.100000000000001" customHeight="1" thickBot="1" x14ac:dyDescent="0.2">
      <c r="A10" s="174" t="s">
        <v>369</v>
      </c>
      <c r="B10" s="172" t="s">
        <v>139</v>
      </c>
      <c r="C10" s="172">
        <v>14</v>
      </c>
      <c r="D10" s="172">
        <v>16</v>
      </c>
      <c r="E10" s="172">
        <v>18</v>
      </c>
      <c r="F10" s="172">
        <v>18</v>
      </c>
      <c r="G10" s="172">
        <v>24</v>
      </c>
      <c r="H10" s="172">
        <v>30</v>
      </c>
      <c r="J10" s="393"/>
      <c r="K10" s="393"/>
      <c r="L10" s="391"/>
      <c r="M10" s="393"/>
      <c r="N10" s="391"/>
    </row>
    <row r="11" spans="1:16" ht="20.100000000000001" customHeight="1" thickBot="1" x14ac:dyDescent="0.2">
      <c r="A11" s="175"/>
      <c r="B11" s="175"/>
      <c r="C11" s="175"/>
      <c r="D11" s="175"/>
      <c r="E11" s="175"/>
      <c r="F11" s="175"/>
      <c r="G11" s="175"/>
      <c r="H11" s="175"/>
      <c r="J11" s="206">
        <v>8</v>
      </c>
      <c r="K11" s="61" t="s">
        <v>373</v>
      </c>
      <c r="L11" s="61" t="s">
        <v>512</v>
      </c>
      <c r="M11" s="61" t="s">
        <v>513</v>
      </c>
      <c r="N11" s="61" t="s">
        <v>509</v>
      </c>
    </row>
    <row r="12" spans="1:16" ht="20.100000000000001" customHeight="1" thickBot="1" x14ac:dyDescent="0.2">
      <c r="A12" s="176" t="s">
        <v>346</v>
      </c>
      <c r="B12" s="177" t="s">
        <v>533</v>
      </c>
      <c r="C12" s="177" t="s">
        <v>534</v>
      </c>
      <c r="D12" s="177" t="s">
        <v>348</v>
      </c>
      <c r="E12" s="177" t="s">
        <v>349</v>
      </c>
      <c r="F12" s="177" t="s">
        <v>535</v>
      </c>
      <c r="G12" s="175"/>
      <c r="H12" s="175"/>
      <c r="J12" s="392">
        <v>9</v>
      </c>
      <c r="K12" s="392" t="s">
        <v>374</v>
      </c>
      <c r="L12" s="392" t="s">
        <v>375</v>
      </c>
      <c r="M12" s="392" t="s">
        <v>513</v>
      </c>
      <c r="N12" s="390" t="s">
        <v>371</v>
      </c>
    </row>
    <row r="13" spans="1:16" ht="20.100000000000001" customHeight="1" thickBot="1" x14ac:dyDescent="0.2">
      <c r="A13" s="178" t="s">
        <v>532</v>
      </c>
      <c r="B13" s="179">
        <v>14</v>
      </c>
      <c r="C13" s="179">
        <v>10</v>
      </c>
      <c r="D13" s="179">
        <v>17</v>
      </c>
      <c r="E13" s="179">
        <v>20</v>
      </c>
      <c r="F13" s="179">
        <v>28</v>
      </c>
      <c r="G13" s="175"/>
      <c r="H13" s="175"/>
      <c r="J13" s="393"/>
      <c r="K13" s="393"/>
      <c r="L13" s="393"/>
      <c r="M13" s="393"/>
      <c r="N13" s="391"/>
    </row>
    <row r="14" spans="1:16" ht="20.100000000000001" customHeight="1" thickBot="1" x14ac:dyDescent="0.2">
      <c r="A14" s="69" t="s">
        <v>372</v>
      </c>
      <c r="J14" s="206">
        <v>10</v>
      </c>
      <c r="K14" s="61" t="s">
        <v>376</v>
      </c>
      <c r="L14" s="61" t="s">
        <v>514</v>
      </c>
      <c r="M14" s="61" t="s">
        <v>505</v>
      </c>
      <c r="N14" s="61" t="s">
        <v>515</v>
      </c>
    </row>
    <row r="15" spans="1:16" ht="20.100000000000001" customHeight="1" thickBot="1" x14ac:dyDescent="0.2">
      <c r="A15" s="173" t="s">
        <v>346</v>
      </c>
      <c r="B15" s="73" t="s">
        <v>347</v>
      </c>
      <c r="C15" s="73" t="s">
        <v>348</v>
      </c>
      <c r="D15" s="73" t="s">
        <v>349</v>
      </c>
      <c r="E15" s="73" t="s">
        <v>350</v>
      </c>
      <c r="F15" s="73" t="s">
        <v>351</v>
      </c>
      <c r="G15" s="73" t="s">
        <v>352</v>
      </c>
      <c r="H15" s="73" t="s">
        <v>353</v>
      </c>
      <c r="J15" s="205">
        <v>11</v>
      </c>
      <c r="K15" s="63" t="s">
        <v>516</v>
      </c>
      <c r="L15" s="63" t="s">
        <v>517</v>
      </c>
      <c r="M15" s="63" t="s">
        <v>502</v>
      </c>
      <c r="N15" s="63" t="s">
        <v>503</v>
      </c>
    </row>
    <row r="16" spans="1:16" ht="20.100000000000001" customHeight="1" thickBot="1" x14ac:dyDescent="0.2">
      <c r="A16" s="174" t="s">
        <v>360</v>
      </c>
      <c r="B16" s="172">
        <v>12</v>
      </c>
      <c r="C16" s="172">
        <v>15</v>
      </c>
      <c r="D16" s="172">
        <v>20</v>
      </c>
      <c r="E16" s="172">
        <v>25</v>
      </c>
      <c r="F16" s="172">
        <v>30</v>
      </c>
      <c r="G16" s="172" t="s">
        <v>139</v>
      </c>
      <c r="H16" s="172" t="s">
        <v>139</v>
      </c>
      <c r="J16" s="206">
        <v>12</v>
      </c>
      <c r="K16" s="61" t="s">
        <v>380</v>
      </c>
      <c r="L16" s="61" t="s">
        <v>518</v>
      </c>
      <c r="M16" s="61" t="s">
        <v>139</v>
      </c>
      <c r="N16" s="61" t="s">
        <v>500</v>
      </c>
    </row>
    <row r="17" spans="1:15" ht="20.100000000000001" customHeight="1" thickBot="1" x14ac:dyDescent="0.2">
      <c r="A17" s="174" t="s">
        <v>362</v>
      </c>
      <c r="B17" s="172">
        <v>14</v>
      </c>
      <c r="C17" s="172">
        <v>16</v>
      </c>
      <c r="D17" s="172">
        <v>18</v>
      </c>
      <c r="E17" s="172">
        <v>20</v>
      </c>
      <c r="F17" s="172">
        <v>24</v>
      </c>
      <c r="G17" s="172">
        <v>28</v>
      </c>
      <c r="H17" s="172">
        <v>32</v>
      </c>
      <c r="J17" s="397"/>
      <c r="K17" s="397"/>
      <c r="L17" s="397"/>
      <c r="M17" s="397"/>
      <c r="N17" s="397"/>
      <c r="O17" s="71"/>
    </row>
    <row r="18" spans="1:15" ht="20.100000000000001" customHeight="1" thickBot="1" x14ac:dyDescent="0.2">
      <c r="J18" s="394" t="s">
        <v>491</v>
      </c>
      <c r="K18" s="395"/>
      <c r="L18" s="395"/>
      <c r="M18" s="395"/>
      <c r="N18" s="396"/>
      <c r="O18" s="71"/>
    </row>
    <row r="19" spans="1:15" ht="20.100000000000001" customHeight="1" thickBot="1" x14ac:dyDescent="0.2">
      <c r="A19" s="140" t="s">
        <v>391</v>
      </c>
      <c r="B19" s="1" t="s">
        <v>712</v>
      </c>
      <c r="C19" s="1" t="s">
        <v>392</v>
      </c>
      <c r="D19" s="1" t="s">
        <v>393</v>
      </c>
      <c r="E19" s="1" t="s">
        <v>394</v>
      </c>
      <c r="F19" s="1" t="s">
        <v>395</v>
      </c>
      <c r="G19" s="1" t="s">
        <v>396</v>
      </c>
      <c r="H19" s="1" t="s">
        <v>397</v>
      </c>
      <c r="J19" s="206">
        <v>2</v>
      </c>
      <c r="K19" s="61" t="s">
        <v>384</v>
      </c>
      <c r="L19" s="60" t="s">
        <v>519</v>
      </c>
      <c r="M19" s="61" t="s">
        <v>139</v>
      </c>
      <c r="N19" s="61" t="s">
        <v>520</v>
      </c>
      <c r="O19" s="71"/>
    </row>
    <row r="20" spans="1:15" ht="20.100000000000001" customHeight="1" thickBot="1" x14ac:dyDescent="0.2">
      <c r="A20" s="176" t="s">
        <v>337</v>
      </c>
      <c r="B20" s="177" t="s">
        <v>399</v>
      </c>
      <c r="C20" s="177" t="s">
        <v>400</v>
      </c>
      <c r="D20" s="177" t="s">
        <v>401</v>
      </c>
      <c r="E20" s="177" t="s">
        <v>402</v>
      </c>
      <c r="F20" s="177" t="s">
        <v>403</v>
      </c>
      <c r="G20" s="177" t="s">
        <v>404</v>
      </c>
      <c r="H20" s="177" t="s">
        <v>405</v>
      </c>
      <c r="J20" s="205">
        <v>3</v>
      </c>
      <c r="K20" s="63" t="s">
        <v>386</v>
      </c>
      <c r="L20" s="66" t="s">
        <v>521</v>
      </c>
      <c r="M20" s="63" t="s">
        <v>505</v>
      </c>
      <c r="N20" s="63" t="s">
        <v>520</v>
      </c>
      <c r="O20" s="71"/>
    </row>
    <row r="21" spans="1:15" ht="20.100000000000001" customHeight="1" thickBot="1" x14ac:dyDescent="0.2">
      <c r="A21" s="178" t="s">
        <v>65</v>
      </c>
      <c r="B21" s="180" t="s">
        <v>406</v>
      </c>
      <c r="C21" s="181" t="s">
        <v>407</v>
      </c>
      <c r="D21" s="182" t="s">
        <v>408</v>
      </c>
      <c r="E21" s="182" t="s">
        <v>408</v>
      </c>
      <c r="F21" s="182" t="s">
        <v>408</v>
      </c>
      <c r="G21" s="182" t="s">
        <v>408</v>
      </c>
      <c r="H21" s="182" t="s">
        <v>408</v>
      </c>
      <c r="J21" s="206">
        <v>4</v>
      </c>
      <c r="K21" s="61" t="s">
        <v>387</v>
      </c>
      <c r="L21" s="60" t="s">
        <v>857</v>
      </c>
      <c r="M21" s="61" t="s">
        <v>139</v>
      </c>
      <c r="N21" s="61" t="s">
        <v>522</v>
      </c>
      <c r="O21" s="71"/>
    </row>
    <row r="22" spans="1:15" ht="20.100000000000001" customHeight="1" thickBot="1" x14ac:dyDescent="0.2">
      <c r="A22" s="178" t="s">
        <v>410</v>
      </c>
      <c r="B22" s="183" t="s">
        <v>411</v>
      </c>
      <c r="C22" s="180" t="s">
        <v>406</v>
      </c>
      <c r="D22" s="181" t="s">
        <v>407</v>
      </c>
      <c r="E22" s="182" t="s">
        <v>408</v>
      </c>
      <c r="F22" s="182" t="s">
        <v>408</v>
      </c>
      <c r="G22" s="182" t="s">
        <v>408</v>
      </c>
      <c r="H22" s="182" t="s">
        <v>408</v>
      </c>
      <c r="J22" s="392">
        <v>5</v>
      </c>
      <c r="K22" s="392" t="s">
        <v>388</v>
      </c>
      <c r="L22" s="422" t="s">
        <v>529</v>
      </c>
      <c r="M22" s="390" t="s">
        <v>139</v>
      </c>
      <c r="N22" s="390" t="s">
        <v>520</v>
      </c>
      <c r="O22" s="72"/>
    </row>
    <row r="23" spans="1:15" ht="20.100000000000001" customHeight="1" thickBot="1" x14ac:dyDescent="0.2">
      <c r="A23" s="178" t="s">
        <v>413</v>
      </c>
      <c r="B23" s="183" t="s">
        <v>411</v>
      </c>
      <c r="C23" s="183" t="s">
        <v>411</v>
      </c>
      <c r="D23" s="180" t="s">
        <v>406</v>
      </c>
      <c r="E23" s="181" t="s">
        <v>407</v>
      </c>
      <c r="F23" s="182" t="s">
        <v>408</v>
      </c>
      <c r="G23" s="182" t="s">
        <v>408</v>
      </c>
      <c r="H23" s="182" t="s">
        <v>408</v>
      </c>
      <c r="J23" s="393"/>
      <c r="K23" s="393"/>
      <c r="L23" s="423"/>
      <c r="M23" s="391"/>
      <c r="N23" s="391"/>
      <c r="O23" s="72"/>
    </row>
    <row r="24" spans="1:15" ht="20.100000000000001" customHeight="1" thickBot="1" x14ac:dyDescent="0.2">
      <c r="A24" s="178" t="s">
        <v>414</v>
      </c>
      <c r="B24" s="183" t="s">
        <v>411</v>
      </c>
      <c r="C24" s="183" t="s">
        <v>411</v>
      </c>
      <c r="D24" s="183" t="s">
        <v>411</v>
      </c>
      <c r="E24" s="180" t="s">
        <v>406</v>
      </c>
      <c r="F24" s="181" t="s">
        <v>407</v>
      </c>
      <c r="G24" s="182" t="s">
        <v>408</v>
      </c>
      <c r="H24" s="182" t="s">
        <v>408</v>
      </c>
      <c r="J24" s="206">
        <v>6</v>
      </c>
      <c r="K24" s="61" t="s">
        <v>389</v>
      </c>
      <c r="L24" s="64" t="s">
        <v>390</v>
      </c>
      <c r="M24" s="61" t="s">
        <v>505</v>
      </c>
      <c r="N24" s="61" t="s">
        <v>523</v>
      </c>
      <c r="O24" s="71"/>
    </row>
    <row r="25" spans="1:15" ht="20.100000000000001" customHeight="1" thickBot="1" x14ac:dyDescent="0.2">
      <c r="A25" s="178" t="s">
        <v>416</v>
      </c>
      <c r="B25" s="183" t="s">
        <v>411</v>
      </c>
      <c r="C25" s="183" t="s">
        <v>411</v>
      </c>
      <c r="D25" s="183" t="s">
        <v>411</v>
      </c>
      <c r="E25" s="183" t="s">
        <v>411</v>
      </c>
      <c r="F25" s="180" t="s">
        <v>406</v>
      </c>
      <c r="G25" s="181" t="s">
        <v>407</v>
      </c>
      <c r="H25" s="182" t="s">
        <v>408</v>
      </c>
      <c r="J25" s="392">
        <v>7</v>
      </c>
      <c r="K25" s="392" t="s">
        <v>398</v>
      </c>
      <c r="L25" s="422" t="s">
        <v>510</v>
      </c>
      <c r="M25" s="67" t="s">
        <v>524</v>
      </c>
      <c r="N25" s="390" t="s">
        <v>371</v>
      </c>
      <c r="O25" s="72"/>
    </row>
    <row r="26" spans="1:15" ht="20.100000000000001" customHeight="1" thickBot="1" x14ac:dyDescent="0.2">
      <c r="A26" s="178" t="s">
        <v>417</v>
      </c>
      <c r="B26" s="183" t="s">
        <v>411</v>
      </c>
      <c r="C26" s="183" t="s">
        <v>411</v>
      </c>
      <c r="D26" s="183" t="s">
        <v>411</v>
      </c>
      <c r="E26" s="183" t="s">
        <v>411</v>
      </c>
      <c r="F26" s="183" t="s">
        <v>411</v>
      </c>
      <c r="G26" s="180" t="s">
        <v>406</v>
      </c>
      <c r="H26" s="181" t="s">
        <v>407</v>
      </c>
      <c r="J26" s="393"/>
      <c r="K26" s="393"/>
      <c r="L26" s="423"/>
      <c r="M26" s="65" t="s">
        <v>511</v>
      </c>
      <c r="N26" s="391"/>
      <c r="O26" s="72"/>
    </row>
    <row r="27" spans="1:15" ht="20.100000000000001" customHeight="1" thickBot="1" x14ac:dyDescent="0.2">
      <c r="A27" s="178" t="s">
        <v>418</v>
      </c>
      <c r="B27" s="183" t="s">
        <v>411</v>
      </c>
      <c r="C27" s="183" t="s">
        <v>411</v>
      </c>
      <c r="D27" s="183" t="s">
        <v>411</v>
      </c>
      <c r="E27" s="183" t="s">
        <v>411</v>
      </c>
      <c r="F27" s="183" t="s">
        <v>411</v>
      </c>
      <c r="G27" s="183" t="s">
        <v>411</v>
      </c>
      <c r="H27" s="180" t="s">
        <v>406</v>
      </c>
      <c r="J27" s="206">
        <v>8</v>
      </c>
      <c r="K27" s="61" t="s">
        <v>409</v>
      </c>
      <c r="L27" s="60" t="s">
        <v>525</v>
      </c>
      <c r="M27" s="61" t="s">
        <v>139</v>
      </c>
      <c r="N27" s="61" t="s">
        <v>503</v>
      </c>
      <c r="O27" s="71"/>
    </row>
    <row r="28" spans="1:15" ht="20.100000000000001" customHeight="1" x14ac:dyDescent="0.15">
      <c r="A28" s="424" t="s">
        <v>536</v>
      </c>
      <c r="B28" s="425"/>
      <c r="C28" s="425"/>
      <c r="D28" s="425"/>
      <c r="E28" s="425"/>
      <c r="F28" s="425"/>
      <c r="G28" s="425"/>
      <c r="H28" s="426"/>
      <c r="J28" s="392">
        <v>9</v>
      </c>
      <c r="K28" s="392" t="s">
        <v>412</v>
      </c>
      <c r="L28" s="422" t="s">
        <v>526</v>
      </c>
      <c r="M28" s="392" t="s">
        <v>505</v>
      </c>
      <c r="N28" s="390" t="s">
        <v>371</v>
      </c>
      <c r="O28" s="72"/>
    </row>
    <row r="29" spans="1:15" ht="20.100000000000001" customHeight="1" thickBot="1" x14ac:dyDescent="0.2">
      <c r="A29" s="427"/>
      <c r="B29" s="428"/>
      <c r="C29" s="428"/>
      <c r="D29" s="428"/>
      <c r="E29" s="428"/>
      <c r="F29" s="428"/>
      <c r="G29" s="428"/>
      <c r="H29" s="429"/>
      <c r="J29" s="393"/>
      <c r="K29" s="393"/>
      <c r="L29" s="423"/>
      <c r="M29" s="393"/>
      <c r="N29" s="391"/>
      <c r="O29" s="72"/>
    </row>
    <row r="30" spans="1:15" ht="20.100000000000001" customHeight="1" thickBot="1" x14ac:dyDescent="0.2">
      <c r="A30" s="432" t="s">
        <v>537</v>
      </c>
      <c r="B30" s="433"/>
      <c r="C30" s="433"/>
      <c r="D30" s="433"/>
      <c r="E30" s="433"/>
      <c r="F30" s="433"/>
      <c r="G30" s="433"/>
      <c r="H30" s="434"/>
      <c r="J30" s="206">
        <v>10</v>
      </c>
      <c r="K30" s="61" t="s">
        <v>415</v>
      </c>
      <c r="L30" s="60" t="s">
        <v>527</v>
      </c>
      <c r="M30" s="61" t="s">
        <v>139</v>
      </c>
      <c r="N30" s="61" t="s">
        <v>522</v>
      </c>
      <c r="O30" s="71"/>
    </row>
    <row r="31" spans="1:15" ht="20.100000000000001" customHeight="1" thickBot="1" x14ac:dyDescent="0.2">
      <c r="A31" s="435" t="s">
        <v>540</v>
      </c>
      <c r="B31" s="436"/>
      <c r="C31" s="436"/>
      <c r="D31" s="436"/>
      <c r="E31" s="436"/>
      <c r="F31" s="436"/>
      <c r="G31" s="436"/>
      <c r="H31" s="437"/>
      <c r="J31" s="205">
        <v>11</v>
      </c>
      <c r="K31" s="63" t="s">
        <v>374</v>
      </c>
      <c r="L31" s="62" t="s">
        <v>492</v>
      </c>
      <c r="M31" s="63" t="s">
        <v>513</v>
      </c>
      <c r="N31" s="63" t="s">
        <v>371</v>
      </c>
      <c r="O31" s="71"/>
    </row>
    <row r="32" spans="1:15" ht="20.100000000000001" customHeight="1" x14ac:dyDescent="0.15">
      <c r="A32" s="427"/>
      <c r="B32" s="428"/>
      <c r="C32" s="428"/>
      <c r="D32" s="428"/>
      <c r="E32" s="428"/>
      <c r="F32" s="428"/>
      <c r="G32" s="428"/>
      <c r="H32" s="429"/>
      <c r="J32" s="388">
        <v>12</v>
      </c>
      <c r="K32" s="388" t="s">
        <v>419</v>
      </c>
      <c r="L32" s="387" t="s">
        <v>528</v>
      </c>
      <c r="M32" s="388" t="s">
        <v>502</v>
      </c>
      <c r="N32" s="388" t="s">
        <v>520</v>
      </c>
      <c r="O32" s="72"/>
    </row>
    <row r="33" spans="1:15" ht="20.100000000000001" customHeight="1" thickBot="1" x14ac:dyDescent="0.2">
      <c r="A33" s="418" t="s">
        <v>538</v>
      </c>
      <c r="B33" s="419"/>
      <c r="C33" s="419"/>
      <c r="D33" s="419"/>
      <c r="E33" s="419"/>
      <c r="F33" s="419"/>
      <c r="G33" s="419"/>
      <c r="H33" s="420"/>
      <c r="J33" s="442"/>
      <c r="K33" s="442"/>
      <c r="L33" s="443"/>
      <c r="M33" s="389"/>
      <c r="N33" s="389"/>
      <c r="O33" s="72"/>
    </row>
    <row r="34" spans="1:15" ht="20.100000000000001" customHeight="1" thickBot="1" x14ac:dyDescent="0.2">
      <c r="A34" s="421" t="s">
        <v>539</v>
      </c>
      <c r="B34" s="421"/>
      <c r="C34" s="421"/>
      <c r="D34" s="421"/>
      <c r="E34" s="421"/>
      <c r="F34" s="421"/>
      <c r="G34" s="421"/>
      <c r="H34" s="421"/>
      <c r="J34" s="173" t="s">
        <v>377</v>
      </c>
      <c r="K34" s="73" t="s">
        <v>378</v>
      </c>
      <c r="L34" s="73" t="s">
        <v>157</v>
      </c>
      <c r="O34" s="72"/>
    </row>
    <row r="35" spans="1:15" ht="30" customHeight="1" thickBot="1" x14ac:dyDescent="0.2">
      <c r="A35" s="421"/>
      <c r="B35" s="421"/>
      <c r="C35" s="421"/>
      <c r="D35" s="421"/>
      <c r="E35" s="421"/>
      <c r="F35" s="421"/>
      <c r="G35" s="421"/>
      <c r="H35" s="421"/>
      <c r="J35" s="174" t="s">
        <v>121</v>
      </c>
      <c r="K35" s="172">
        <v>-8</v>
      </c>
      <c r="L35" s="70" t="s">
        <v>379</v>
      </c>
    </row>
    <row r="36" spans="1:15" ht="30" customHeight="1" thickBot="1" x14ac:dyDescent="0.2">
      <c r="A36" s="421"/>
      <c r="B36" s="421"/>
      <c r="C36" s="421"/>
      <c r="D36" s="421"/>
      <c r="E36" s="421"/>
      <c r="F36" s="421"/>
      <c r="G36" s="421"/>
      <c r="H36" s="421"/>
      <c r="J36" s="174" t="s">
        <v>381</v>
      </c>
      <c r="K36" s="172">
        <v>-6</v>
      </c>
      <c r="L36" s="70" t="s">
        <v>382</v>
      </c>
    </row>
    <row r="37" spans="1:15" ht="30" customHeight="1" thickBot="1" x14ac:dyDescent="0.2">
      <c r="A37" s="421"/>
      <c r="B37" s="421"/>
      <c r="C37" s="421"/>
      <c r="D37" s="421"/>
      <c r="E37" s="421"/>
      <c r="F37" s="421"/>
      <c r="G37" s="421"/>
      <c r="H37" s="421"/>
      <c r="J37" s="174" t="s">
        <v>154</v>
      </c>
      <c r="K37" s="172">
        <v>-4</v>
      </c>
      <c r="L37" s="70" t="s">
        <v>383</v>
      </c>
    </row>
    <row r="38" spans="1:15" ht="30" customHeight="1" thickBot="1" x14ac:dyDescent="0.2">
      <c r="A38" s="421"/>
      <c r="B38" s="421"/>
      <c r="C38" s="421"/>
      <c r="D38" s="421"/>
      <c r="E38" s="421"/>
      <c r="F38" s="421"/>
      <c r="G38" s="421"/>
      <c r="H38" s="421"/>
      <c r="J38" s="174" t="s">
        <v>385</v>
      </c>
      <c r="K38" s="172">
        <v>-10</v>
      </c>
      <c r="L38" s="70" t="s">
        <v>531</v>
      </c>
    </row>
    <row r="40" spans="1:15" ht="20.100000000000001" customHeight="1" thickBot="1" x14ac:dyDescent="0.2">
      <c r="A40" s="414" t="s">
        <v>420</v>
      </c>
      <c r="B40" s="415"/>
      <c r="C40" s="415"/>
      <c r="D40" s="415"/>
      <c r="E40" s="415"/>
      <c r="F40" s="415"/>
      <c r="G40" s="415"/>
      <c r="H40" s="416"/>
      <c r="K40" s="430" t="s">
        <v>496</v>
      </c>
      <c r="L40" s="431"/>
    </row>
    <row r="41" spans="1:15" ht="20.100000000000001" customHeight="1" thickBot="1" x14ac:dyDescent="0.2">
      <c r="A41" s="176" t="s">
        <v>346</v>
      </c>
      <c r="B41" s="177" t="s">
        <v>347</v>
      </c>
      <c r="C41" s="177" t="s">
        <v>348</v>
      </c>
      <c r="D41" s="177" t="s">
        <v>422</v>
      </c>
      <c r="E41" s="177" t="s">
        <v>423</v>
      </c>
      <c r="F41" s="177" t="s">
        <v>353</v>
      </c>
      <c r="G41" s="177" t="s">
        <v>424</v>
      </c>
      <c r="H41" s="177" t="s">
        <v>425</v>
      </c>
      <c r="K41" s="75" t="s">
        <v>448</v>
      </c>
      <c r="L41" s="75" t="s">
        <v>449</v>
      </c>
    </row>
    <row r="42" spans="1:15" ht="20.100000000000001" customHeight="1" thickBot="1" x14ac:dyDescent="0.2">
      <c r="A42" s="178" t="s">
        <v>428</v>
      </c>
      <c r="B42" s="179">
        <v>16</v>
      </c>
      <c r="C42" s="179">
        <v>14</v>
      </c>
      <c r="D42" s="179">
        <v>12</v>
      </c>
      <c r="E42" s="179">
        <v>16</v>
      </c>
      <c r="F42" s="179">
        <v>20</v>
      </c>
      <c r="G42" s="179">
        <v>25</v>
      </c>
      <c r="H42" s="179" t="s">
        <v>139</v>
      </c>
      <c r="K42" s="76" t="s">
        <v>450</v>
      </c>
      <c r="L42" s="76" t="s">
        <v>456</v>
      </c>
    </row>
    <row r="43" spans="1:15" ht="20.100000000000001" customHeight="1" thickBot="1" x14ac:dyDescent="0.2">
      <c r="A43" s="178" t="s">
        <v>429</v>
      </c>
      <c r="B43" s="179">
        <v>18</v>
      </c>
      <c r="C43" s="179">
        <v>16</v>
      </c>
      <c r="D43" s="179">
        <v>12</v>
      </c>
      <c r="E43" s="179">
        <v>14</v>
      </c>
      <c r="F43" s="179">
        <v>18</v>
      </c>
      <c r="G43" s="179">
        <v>22</v>
      </c>
      <c r="H43" s="179" t="s">
        <v>139</v>
      </c>
      <c r="K43" s="76" t="s">
        <v>451</v>
      </c>
      <c r="L43" s="76" t="s">
        <v>457</v>
      </c>
    </row>
    <row r="44" spans="1:15" ht="20.100000000000001" customHeight="1" thickBot="1" x14ac:dyDescent="0.2">
      <c r="A44" s="178" t="s">
        <v>431</v>
      </c>
      <c r="B44" s="179">
        <v>20</v>
      </c>
      <c r="C44" s="179">
        <v>18</v>
      </c>
      <c r="D44" s="179">
        <v>14</v>
      </c>
      <c r="E44" s="179">
        <v>12</v>
      </c>
      <c r="F44" s="179">
        <v>13</v>
      </c>
      <c r="G44" s="179">
        <v>16</v>
      </c>
      <c r="H44" s="179">
        <v>20</v>
      </c>
      <c r="K44" s="76" t="s">
        <v>452</v>
      </c>
      <c r="L44" s="76" t="s">
        <v>458</v>
      </c>
    </row>
    <row r="45" spans="1:15" ht="20.100000000000001" customHeight="1" thickBot="1" x14ac:dyDescent="0.2">
      <c r="A45" s="178" t="s">
        <v>432</v>
      </c>
      <c r="B45" s="179" t="s">
        <v>139</v>
      </c>
      <c r="C45" s="179">
        <v>22</v>
      </c>
      <c r="D45" s="179">
        <v>18</v>
      </c>
      <c r="E45" s="179">
        <v>13</v>
      </c>
      <c r="F45" s="179">
        <v>12</v>
      </c>
      <c r="G45" s="179">
        <v>14</v>
      </c>
      <c r="H45" s="179">
        <v>18</v>
      </c>
      <c r="K45" s="76" t="s">
        <v>453</v>
      </c>
      <c r="L45" s="76" t="s">
        <v>460</v>
      </c>
    </row>
    <row r="46" spans="1:15" ht="20.100000000000001" customHeight="1" thickBot="1" x14ac:dyDescent="0.2">
      <c r="A46" s="178" t="s">
        <v>434</v>
      </c>
      <c r="B46" s="179">
        <v>28</v>
      </c>
      <c r="C46" s="179">
        <v>18</v>
      </c>
      <c r="D46" s="179">
        <v>12</v>
      </c>
      <c r="E46" s="179">
        <v>14</v>
      </c>
      <c r="F46" s="179">
        <v>18</v>
      </c>
      <c r="G46" s="179">
        <v>22</v>
      </c>
      <c r="H46" s="179">
        <v>25</v>
      </c>
      <c r="K46" s="76" t="s">
        <v>454</v>
      </c>
      <c r="L46" s="76" t="s">
        <v>459</v>
      </c>
    </row>
    <row r="47" spans="1:15" ht="20.100000000000001" customHeight="1" thickBot="1" x14ac:dyDescent="0.2">
      <c r="A47" s="178" t="s">
        <v>369</v>
      </c>
      <c r="B47" s="179" t="s">
        <v>139</v>
      </c>
      <c r="C47" s="179">
        <v>22</v>
      </c>
      <c r="D47" s="179">
        <v>18</v>
      </c>
      <c r="E47" s="179">
        <v>14</v>
      </c>
      <c r="F47" s="179">
        <v>18</v>
      </c>
      <c r="G47" s="179">
        <v>24</v>
      </c>
      <c r="H47" s="179">
        <v>30</v>
      </c>
      <c r="K47" s="76" t="s">
        <v>455</v>
      </c>
      <c r="L47" s="76" t="s">
        <v>461</v>
      </c>
    </row>
    <row r="48" spans="1:15" ht="20.100000000000001" customHeight="1" thickBot="1" x14ac:dyDescent="0.2">
      <c r="A48" s="74" t="s">
        <v>438</v>
      </c>
      <c r="K48" s="75" t="s">
        <v>462</v>
      </c>
      <c r="L48" s="75" t="s">
        <v>449</v>
      </c>
    </row>
    <row r="49" spans="1:12" ht="20.100000000000001" customHeight="1" thickBot="1" x14ac:dyDescent="0.2">
      <c r="A49" s="176" t="s">
        <v>346</v>
      </c>
      <c r="B49" s="177" t="s">
        <v>439</v>
      </c>
      <c r="C49" s="177" t="s">
        <v>440</v>
      </c>
      <c r="D49" s="177" t="s">
        <v>441</v>
      </c>
      <c r="E49" s="177" t="s">
        <v>353</v>
      </c>
      <c r="F49" s="177" t="s">
        <v>424</v>
      </c>
      <c r="G49" s="177" t="s">
        <v>442</v>
      </c>
      <c r="H49" s="177" t="s">
        <v>443</v>
      </c>
      <c r="K49" s="76" t="s">
        <v>463</v>
      </c>
      <c r="L49" s="76" t="s">
        <v>457</v>
      </c>
    </row>
    <row r="50" spans="1:12" ht="20.100000000000001" customHeight="1" thickBot="1" x14ac:dyDescent="0.2">
      <c r="A50" s="178" t="s">
        <v>444</v>
      </c>
      <c r="B50" s="179" t="s">
        <v>139</v>
      </c>
      <c r="C50" s="179">
        <v>20</v>
      </c>
      <c r="D50" s="179">
        <v>18</v>
      </c>
      <c r="E50" s="179">
        <v>15</v>
      </c>
      <c r="F50" s="179">
        <v>13</v>
      </c>
      <c r="G50" s="179">
        <v>18</v>
      </c>
      <c r="H50" s="179">
        <v>24</v>
      </c>
      <c r="K50" s="76" t="s">
        <v>464</v>
      </c>
      <c r="L50" s="76" t="s">
        <v>469</v>
      </c>
    </row>
    <row r="51" spans="1:12" ht="20.100000000000001" customHeight="1" thickBot="1" x14ac:dyDescent="0.2">
      <c r="A51" s="74" t="s">
        <v>438</v>
      </c>
      <c r="K51" s="76" t="s">
        <v>453</v>
      </c>
      <c r="L51" s="76" t="s">
        <v>468</v>
      </c>
    </row>
    <row r="52" spans="1:12" ht="20.100000000000001" customHeight="1" thickBot="1" x14ac:dyDescent="0.2">
      <c r="A52" s="176" t="s">
        <v>50</v>
      </c>
      <c r="B52" s="177" t="s">
        <v>347</v>
      </c>
      <c r="C52" s="177" t="s">
        <v>348</v>
      </c>
      <c r="D52" s="177" t="s">
        <v>422</v>
      </c>
      <c r="E52" s="177" t="s">
        <v>423</v>
      </c>
      <c r="F52" s="177" t="s">
        <v>353</v>
      </c>
      <c r="G52" s="177" t="s">
        <v>424</v>
      </c>
      <c r="H52" s="177" t="s">
        <v>425</v>
      </c>
      <c r="K52" s="76" t="s">
        <v>465</v>
      </c>
      <c r="L52" s="76" t="s">
        <v>467</v>
      </c>
    </row>
    <row r="53" spans="1:12" ht="20.100000000000001" customHeight="1" thickBot="1" x14ac:dyDescent="0.2">
      <c r="A53" s="178" t="s">
        <v>428</v>
      </c>
      <c r="B53" s="179">
        <v>18</v>
      </c>
      <c r="C53" s="179">
        <v>14</v>
      </c>
      <c r="D53" s="179">
        <v>16</v>
      </c>
      <c r="E53" s="179">
        <v>18</v>
      </c>
      <c r="F53" s="179">
        <v>22</v>
      </c>
      <c r="G53" s="179">
        <v>30</v>
      </c>
      <c r="H53" s="179" t="s">
        <v>139</v>
      </c>
      <c r="K53" s="76" t="s">
        <v>455</v>
      </c>
      <c r="L53" s="76" t="s">
        <v>466</v>
      </c>
    </row>
    <row r="54" spans="1:12" ht="20.100000000000001" customHeight="1" thickBot="1" x14ac:dyDescent="0.2">
      <c r="A54" s="178" t="s">
        <v>429</v>
      </c>
      <c r="B54" s="179">
        <v>24</v>
      </c>
      <c r="C54" s="179">
        <v>18</v>
      </c>
      <c r="D54" s="179">
        <v>15</v>
      </c>
      <c r="E54" s="179">
        <v>16</v>
      </c>
      <c r="F54" s="179">
        <v>20</v>
      </c>
      <c r="G54" s="179">
        <v>28</v>
      </c>
      <c r="H54" s="179" t="s">
        <v>139</v>
      </c>
    </row>
    <row r="55" spans="1:12" ht="20.100000000000001" customHeight="1" thickBot="1" x14ac:dyDescent="0.2">
      <c r="A55" s="178" t="s">
        <v>431</v>
      </c>
      <c r="B55" s="179">
        <v>30</v>
      </c>
      <c r="C55" s="179">
        <v>23</v>
      </c>
      <c r="D55" s="179">
        <v>18</v>
      </c>
      <c r="E55" s="179">
        <v>15</v>
      </c>
      <c r="F55" s="179">
        <v>19</v>
      </c>
      <c r="G55" s="179">
        <v>26</v>
      </c>
      <c r="H55" s="179">
        <v>30</v>
      </c>
      <c r="J55" s="417" t="s">
        <v>421</v>
      </c>
      <c r="K55" s="417"/>
      <c r="L55" s="417"/>
    </row>
    <row r="56" spans="1:12" ht="20.100000000000001" customHeight="1" x14ac:dyDescent="0.15">
      <c r="J56" s="398" t="s">
        <v>426</v>
      </c>
      <c r="K56" s="399"/>
      <c r="L56" s="408" t="s">
        <v>427</v>
      </c>
    </row>
    <row r="57" spans="1:12" ht="20.100000000000001" customHeight="1" x14ac:dyDescent="0.15">
      <c r="J57" s="400"/>
      <c r="K57" s="401"/>
      <c r="L57" s="409"/>
    </row>
    <row r="58" spans="1:12" ht="20.100000000000001" customHeight="1" x14ac:dyDescent="0.15">
      <c r="J58" s="404" t="s">
        <v>445</v>
      </c>
      <c r="K58" s="405"/>
      <c r="L58" s="402" t="s">
        <v>430</v>
      </c>
    </row>
    <row r="59" spans="1:12" ht="20.100000000000001" customHeight="1" x14ac:dyDescent="0.15">
      <c r="J59" s="404" t="s">
        <v>446</v>
      </c>
      <c r="K59" s="405"/>
      <c r="L59" s="403"/>
    </row>
    <row r="60" spans="1:12" ht="20.100000000000001" customHeight="1" x14ac:dyDescent="0.15">
      <c r="J60" s="406" t="s">
        <v>447</v>
      </c>
      <c r="K60" s="407"/>
      <c r="L60" s="408" t="s">
        <v>433</v>
      </c>
    </row>
    <row r="61" spans="1:12" ht="20.100000000000001" customHeight="1" x14ac:dyDescent="0.15">
      <c r="J61" s="406" t="s">
        <v>435</v>
      </c>
      <c r="K61" s="407"/>
      <c r="L61" s="409"/>
    </row>
    <row r="62" spans="1:12" ht="20.100000000000001" customHeight="1" x14ac:dyDescent="0.15">
      <c r="J62" s="410" t="s">
        <v>436</v>
      </c>
      <c r="K62" s="411"/>
      <c r="L62" s="402" t="s">
        <v>437</v>
      </c>
    </row>
    <row r="63" spans="1:12" ht="20.100000000000001" customHeight="1" x14ac:dyDescent="0.15">
      <c r="J63" s="412"/>
      <c r="K63" s="413"/>
      <c r="L63" s="403"/>
    </row>
  </sheetData>
  <mergeCells count="56">
    <mergeCell ref="A30:H30"/>
    <mergeCell ref="A31:H32"/>
    <mergeCell ref="A1:H1"/>
    <mergeCell ref="J1:N1"/>
    <mergeCell ref="N6:N7"/>
    <mergeCell ref="N9:N10"/>
    <mergeCell ref="N12:N13"/>
    <mergeCell ref="J6:J7"/>
    <mergeCell ref="K6:K7"/>
    <mergeCell ref="L6:L7"/>
    <mergeCell ref="M6:M7"/>
    <mergeCell ref="J9:J10"/>
    <mergeCell ref="K9:K10"/>
    <mergeCell ref="L9:L10"/>
    <mergeCell ref="M9:M10"/>
    <mergeCell ref="J12:J13"/>
    <mergeCell ref="A40:H40"/>
    <mergeCell ref="J55:L55"/>
    <mergeCell ref="J22:J23"/>
    <mergeCell ref="J25:J26"/>
    <mergeCell ref="J28:J29"/>
    <mergeCell ref="A33:H33"/>
    <mergeCell ref="A34:H38"/>
    <mergeCell ref="L28:L29"/>
    <mergeCell ref="L22:L23"/>
    <mergeCell ref="L25:L26"/>
    <mergeCell ref="A28:H29"/>
    <mergeCell ref="K40:L40"/>
    <mergeCell ref="K25:K26"/>
    <mergeCell ref="K28:K29"/>
    <mergeCell ref="J32:J33"/>
    <mergeCell ref="K32:K33"/>
    <mergeCell ref="J56:K57"/>
    <mergeCell ref="L62:L63"/>
    <mergeCell ref="J58:K58"/>
    <mergeCell ref="J59:K59"/>
    <mergeCell ref="J60:K60"/>
    <mergeCell ref="J61:K61"/>
    <mergeCell ref="L60:L61"/>
    <mergeCell ref="L58:L59"/>
    <mergeCell ref="J62:K63"/>
    <mergeCell ref="L56:L57"/>
    <mergeCell ref="K12:K13"/>
    <mergeCell ref="L12:L13"/>
    <mergeCell ref="M12:M13"/>
    <mergeCell ref="K22:K23"/>
    <mergeCell ref="J18:N18"/>
    <mergeCell ref="J17:N17"/>
    <mergeCell ref="L32:L33"/>
    <mergeCell ref="M32:M33"/>
    <mergeCell ref="N32:N33"/>
    <mergeCell ref="M22:M23"/>
    <mergeCell ref="M28:M29"/>
    <mergeCell ref="N22:N23"/>
    <mergeCell ref="N25:N26"/>
    <mergeCell ref="N28:N29"/>
  </mergeCells>
  <phoneticPr fontId="3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前言卡</vt:lpstr>
      <vt:lpstr>人物卡</vt:lpstr>
      <vt:lpstr>武器卡</vt:lpstr>
      <vt:lpstr>防具卡</vt:lpstr>
      <vt:lpstr>背包卡</vt:lpstr>
      <vt:lpstr>义体卡</vt:lpstr>
      <vt:lpstr>往来记录</vt:lpstr>
      <vt:lpstr>购物助手</vt:lpstr>
      <vt:lpstr>RP卡</vt:lpstr>
      <vt:lpstr>网行卡</vt:lpstr>
      <vt:lpstr>载具卡</vt:lpstr>
      <vt:lpstr>ACPA卡</vt:lpstr>
      <vt:lpstr>鲨包速查V1.91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C DQ</cp:lastModifiedBy>
  <dcterms:created xsi:type="dcterms:W3CDTF">2026-04-13T03:34:00Z</dcterms:created>
  <dcterms:modified xsi:type="dcterms:W3CDTF">2026-08-11T12:43:48Z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1</vt:i4>
  </property>
  <property fmtid="{D5CDD505-2E9C-101B-9397-08002B2CF9AE}" pid="3" name="ICV">
    <vt:lpwstr>D569503DCFEE4BF3898909D07A5288D5_13</vt:lpwstr>
  </property>
  <property fmtid="{D5CDD505-2E9C-101B-9397-08002B2CF9AE}" pid="4" name="KSOProductBuildVer">
    <vt:lpwstr>2052-12.1.0.26375</vt:lpwstr>
  </property>
</Properties>
</file>